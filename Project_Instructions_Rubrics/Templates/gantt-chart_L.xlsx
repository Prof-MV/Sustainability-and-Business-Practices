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O:\MGMT6098\"/>
    </mc:Choice>
  </mc:AlternateContent>
  <bookViews>
    <workbookView xWindow="0" yWindow="0" windowWidth="15360" windowHeight="7620"/>
  </bookViews>
  <sheets>
    <sheet name="GanttChart" sheetId="9" r:id="rId1"/>
    <sheet name="GanttChartPro" sheetId="12" r:id="rId2"/>
    <sheet name="Help" sheetId="6" r:id="rId3"/>
    <sheet name="TermsOfUse" sheetId="11" r:id="rId4"/>
  </sheets>
  <definedNames>
    <definedName name="prevWBS" localSheetId="0">GanttChart!$A1048576</definedName>
    <definedName name="_xlnm.Print_Area" localSheetId="0">GanttChart!$A$1:$BN$37</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62913"/>
</workbook>
</file>

<file path=xl/calcChain.xml><?xml version="1.0" encoding="utf-8"?>
<calcChain xmlns="http://schemas.openxmlformats.org/spreadsheetml/2006/main">
  <c r="I37" i="9" l="1"/>
  <c r="I36" i="9"/>
  <c r="F41" i="9" l="1"/>
  <c r="F42" i="9" s="1"/>
  <c r="I42" i="9" s="1"/>
  <c r="F40" i="9"/>
  <c r="I40" i="9" s="1"/>
  <c r="F8" i="9"/>
  <c r="I8" i="9" s="1"/>
  <c r="F30" i="9"/>
  <c r="I30" i="9" s="1"/>
  <c r="F24" i="9"/>
  <c r="I24" i="9" s="1"/>
  <c r="F18" i="9"/>
  <c r="I18" i="9" s="1"/>
  <c r="F43" i="9" l="1"/>
  <c r="I43" i="9" s="1"/>
  <c r="I41" i="9"/>
  <c r="F12" i="9" l="1"/>
  <c r="F9" i="9"/>
  <c r="K6" i="9"/>
  <c r="F15" i="9" l="1"/>
  <c r="I15" i="9" s="1"/>
  <c r="I12" i="9"/>
  <c r="F10" i="9"/>
  <c r="I10" i="9" s="1"/>
  <c r="I9" i="9"/>
  <c r="F16" i="9"/>
  <c r="I16" i="9" s="1"/>
  <c r="K7" i="9"/>
  <c r="K4" i="9"/>
  <c r="A8" i="9"/>
  <c r="A40" i="9"/>
  <c r="A41" i="9" s="1"/>
  <c r="A42" i="9" s="1"/>
  <c r="A43" i="9" s="1"/>
  <c r="F13" i="9" l="1"/>
  <c r="I13" i="9" s="1"/>
  <c r="F14" i="9" l="1"/>
  <c r="I14" i="9" s="1"/>
  <c r="L6" i="9" l="1"/>
  <c r="F20" i="9" l="1"/>
  <c r="I20" i="9" s="1"/>
  <c r="F19" i="9"/>
  <c r="I19" i="9" s="1"/>
  <c r="F26" i="9"/>
  <c r="I26" i="9" s="1"/>
  <c r="F25" i="9"/>
  <c r="I25" i="9" s="1"/>
  <c r="F32" i="9"/>
  <c r="I32" i="9" s="1"/>
  <c r="F31" i="9"/>
  <c r="I31" i="9" s="1"/>
  <c r="M6" i="9"/>
  <c r="F27" i="9"/>
  <c r="I27" i="9" s="1"/>
  <c r="F33" i="9" l="1"/>
  <c r="I33" i="9" s="1"/>
  <c r="N6" i="9"/>
  <c r="F34" i="9" l="1"/>
  <c r="I34" i="9" s="1"/>
  <c r="F28" i="9"/>
  <c r="I28" i="9" s="1"/>
  <c r="O6" i="9"/>
  <c r="F17" i="9"/>
  <c r="I17" i="9" s="1"/>
  <c r="K5" i="9"/>
  <c r="F35" i="9" l="1"/>
  <c r="I35" i="9" s="1"/>
  <c r="F29" i="9"/>
  <c r="I29" i="9" s="1"/>
  <c r="F11" i="9"/>
  <c r="I11"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s="1"/>
  <c r="A12" i="9" l="1"/>
  <c r="A13" i="9" s="1"/>
  <c r="A14" i="9" s="1"/>
  <c r="A15" i="9" s="1"/>
  <c r="A16" i="9" s="1"/>
  <c r="A17" i="9" s="1"/>
  <c r="A18" i="9" s="1"/>
  <c r="A19" i="9" s="1"/>
  <c r="A20" i="9" s="1"/>
  <c r="A21" i="9" l="1"/>
  <c r="A22" i="9" s="1"/>
  <c r="A23" i="9" s="1"/>
  <c r="A24" i="9" s="1"/>
  <c r="A25" i="9" s="1"/>
  <c r="A26" i="9" s="1"/>
  <c r="A27" i="9" s="1"/>
  <c r="A28" i="9" s="1"/>
  <c r="F21" i="9" l="1"/>
  <c r="A29" i="9"/>
  <c r="A30" i="9" s="1"/>
  <c r="A31" i="9" s="1"/>
  <c r="A32" i="9" s="1"/>
  <c r="A33" i="9" s="1"/>
  <c r="A34" i="9" s="1"/>
  <c r="A35" i="9" s="1"/>
  <c r="I21" i="9" l="1"/>
  <c r="F22" i="9"/>
  <c r="I22" i="9" l="1"/>
  <c r="F23" i="9"/>
  <c r="I23" i="9" s="1"/>
</calcChain>
</file>

<file path=xl/comments1.xml><?xml version="1.0" encoding="utf-8"?>
<comments xmlns="http://schemas.openxmlformats.org/spreadsheetml/2006/main">
  <authors>
    <author>Vertex42</author>
    <author>Vertex42.com Templates</author>
  </authors>
  <commentList>
    <comment ref="A7" authorId="0" shapeId="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text>
        <r>
          <rPr>
            <b/>
            <sz val="9"/>
            <color indexed="81"/>
            <rFont val="Tahoma"/>
            <family val="2"/>
          </rPr>
          <t>Task Lead</t>
        </r>
        <r>
          <rPr>
            <sz val="9"/>
            <color indexed="81"/>
            <rFont val="Tahoma"/>
            <family val="2"/>
          </rPr>
          <t xml:space="preserve">
Enter the name of the Task Lead in this column.</t>
        </r>
      </text>
    </comment>
    <comment ref="D7" authorId="0" shapeId="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authors>
    <author>Vertex42</author>
  </authors>
  <commentList>
    <comment ref="C16" authorId="0" shapeId="0">
      <text>
        <r>
          <rPr>
            <sz val="8"/>
            <color indexed="81"/>
            <rFont val="Tahoma"/>
            <family val="2"/>
          </rPr>
          <t>This is an example comment.</t>
        </r>
      </text>
    </comment>
  </commentList>
</comments>
</file>

<file path=xl/sharedStrings.xml><?xml version="1.0" encoding="utf-8"?>
<sst xmlns="http://schemas.openxmlformats.org/spreadsheetml/2006/main" count="176" uniqueCount="142">
  <si>
    <t>[Company Name]</t>
  </si>
  <si>
    <t>WBS</t>
  </si>
  <si>
    <t>[Project Name] Project Schedule</t>
  </si>
  <si>
    <t>TEMPLATE ROWS</t>
  </si>
  <si>
    <t>Input Cell</t>
  </si>
  <si>
    <t>Label</t>
  </si>
  <si>
    <t>Getting Started Tips</t>
  </si>
  <si>
    <t>FAQs</t>
  </si>
  <si>
    <t>Q:</t>
  </si>
  <si>
    <t>Creating Task Dependencies</t>
  </si>
  <si>
    <t>[Task Category]</t>
  </si>
  <si>
    <t>[Task]</t>
  </si>
  <si>
    <t>[Name]</t>
  </si>
  <si>
    <t>Changing the Color of the Bars in the Gantt Chart</t>
  </si>
  <si>
    <t>Using the Template Rows and Choosing a WBS Level</t>
  </si>
  <si>
    <t>A.</t>
  </si>
  <si>
    <t>Enter the date manually (e.g. 1/3/2015)</t>
  </si>
  <si>
    <t>B.</t>
  </si>
  <si>
    <t>Reference the Project Start Date (e.g. =$E$4 )</t>
  </si>
  <si>
    <t>C.</t>
  </si>
  <si>
    <t>Set the Start date to the next Work Day after another task's End date.</t>
  </si>
  <si>
    <t>D.</t>
  </si>
  <si>
    <t>Set the Start date to the next Calendar Day after another task's End date.</t>
  </si>
  <si>
    <t>E.</t>
  </si>
  <si>
    <t>Set the Start date to a number of days before or after another date.</t>
  </si>
  <si>
    <t>Find a row that works, then copy the cells that make up the gantt chart area from that row into the row that is messed up.</t>
  </si>
  <si>
    <t>Gantt Chart Template Pro</t>
  </si>
  <si>
    <t>Learn More About Gantt Chart Template Pro</t>
  </si>
  <si>
    <t>Benefits and Features of Gantt Chart Template Pro</t>
  </si>
  <si>
    <t xml:space="preserve"> - Start date and End date</t>
  </si>
  <si>
    <t xml:space="preserve"> - Start date and Work days</t>
  </si>
  <si>
    <t xml:space="preserve"> - Start date and Calendar days</t>
  </si>
  <si>
    <t>Easily Create Task Dependencies</t>
  </si>
  <si>
    <t>Exclude Holidays from Work Days</t>
  </si>
  <si>
    <r>
      <t>Gantt Chart Template Pro</t>
    </r>
    <r>
      <rPr>
        <sz val="10"/>
        <rFont val="Arial"/>
        <family val="2"/>
      </rPr>
      <t xml:space="preserve"> is similar to this free version, but</t>
    </r>
  </si>
  <si>
    <t>it is more feature-packed. It also comes with other bonus content.</t>
  </si>
  <si>
    <t>Use Work Days as an Input</t>
  </si>
  <si>
    <t>Customize Your Work Week</t>
  </si>
  <si>
    <t>functions that allow you define the work week as something other than Monday-Friday.</t>
  </si>
  <si>
    <t>Simple Color-Coding</t>
  </si>
  <si>
    <t>By default, the Pro version is set up to have you enter Work Days instead of Calendar Days.</t>
  </si>
  <si>
    <t>The expanded set of template rows provides more options for defining the Start date, End date,</t>
  </si>
  <si>
    <t>See the Help worksheet to learn how to use these rows. You can hide these rows before printing.</t>
  </si>
  <si>
    <t>and Duration of tasks. Define a task based on …</t>
  </si>
  <si>
    <t>List holidays and other specific non-working days that you want to exclude from work days.</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</si>
  <si>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</si>
  <si>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</si>
  <si>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</si>
  <si>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</si>
  <si>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</si>
  <si>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Gantt Chart Template Pro for Excel Online</t>
  </si>
  <si>
    <t>Pro version for Excel Online.</t>
  </si>
  <si>
    <t>The following link is a blog post that talks specifically about the</t>
  </si>
  <si>
    <t>https://www.vertex42.com/ExcelTemplates/excel-gantt-chart.html</t>
  </si>
  <si>
    <t>https://www.vertex42.com/licensing/EULA_privateuse.html</t>
  </si>
  <si>
    <t>Learn About Gantt Chart Template Pro</t>
  </si>
  <si>
    <t>Terms of Use</t>
  </si>
  <si>
    <t>Gantt Chart Template, by Vertex42.com</t>
  </si>
  <si>
    <t>© 2006-2018 Vertex42 LLC</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</si>
  <si>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</si>
  <si>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</si>
  <si>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</si>
  <si>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</si>
  <si>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</si>
  <si>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</si>
  <si>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Watch Demo Videos of the Pro Version on Vertex42.com</t>
  </si>
  <si>
    <t>Please read the license agreement in the TermsOfUse worksheet to learn how you may or may not use and share this spreadsheet.</t>
  </si>
  <si>
    <t xml:space="preserve"> . [ Level 2 Task ]</t>
  </si>
  <si>
    <t xml:space="preserve"> . . [ Level 3 Task ]</t>
  </si>
  <si>
    <t xml:space="preserve"> . . . [ Level 4 Task ]</t>
  </si>
  <si>
    <t>TASK</t>
  </si>
  <si>
    <t>LEAD</t>
  </si>
  <si>
    <t>START</t>
  </si>
  <si>
    <t>END</t>
  </si>
  <si>
    <t>DAYS</t>
  </si>
  <si>
    <t>% DONE</t>
  </si>
  <si>
    <t>WORK DAYS</t>
  </si>
  <si>
    <t>PREDECESSOR</t>
  </si>
  <si>
    <t xml:space="preserve">Display Week </t>
  </si>
  <si>
    <t xml:space="preserve">Project Start Date </t>
  </si>
  <si>
    <t xml:space="preserve">Project Lead </t>
  </si>
  <si>
    <t>[ Level 1 Task or Phase ]</t>
  </si>
  <si>
    <r>
      <rPr>
        <i/>
        <u/>
        <sz val="8"/>
        <color theme="1" tint="0.34998626667073579"/>
        <rFont val="Arial"/>
        <family val="2"/>
      </rPr>
      <t>Gantt Chart Template</t>
    </r>
    <r>
      <rPr>
        <i/>
        <sz val="8"/>
        <color theme="1" tint="0.34998626667073579"/>
        <rFont val="Arial"/>
        <family val="2"/>
      </rPr>
      <t xml:space="preserve"> © 2006-2018 by Vertex42.com.</t>
    </r>
  </si>
  <si>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</si>
  <si>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 Some of the labels include cell comments to provide extra information.</t>
  </si>
  <si>
    <t>• Define the task start date and duration (days) by editing the light green cells.</t>
  </si>
  <si>
    <t>• [Bracketed Text] is meant to be edited, like the project title and task descriptions.</t>
  </si>
  <si>
    <t>• If you see "#####" in a cell, widen the column to display the cell contents.</t>
  </si>
  <si>
    <t>• To adjust the range of dates shown in the Gantt chart, change the Display Week number.</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</si>
  <si>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</si>
  <si>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</si>
  <si>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t>• Insert a new blank row by right-clicking on the row number and selecting Insert.</t>
  </si>
  <si>
    <t>• Copy a row from the set of template rows at the bottom of the worksheet.</t>
  </si>
  <si>
    <t>• With the new blank row selected, press Ctrl+d to copy the formulas and formatting down from the row above OR use the row drag handle to copy the formulas and formatting down.</t>
  </si>
  <si>
    <t>About This Template</t>
  </si>
  <si>
    <t>Be sure to read the Getting Started Tips below. Watching the video demos for Gantt Chart Template Pro may also help you see how to use the spreadsheet.</t>
  </si>
  <si>
    <t>• The Project Start Date is used to define the first week shown in the gantt chart.</t>
  </si>
  <si>
    <t>• Insert new tasks using one of the methods listed below.</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</si>
  <si>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</si>
  <si>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2</t>
  </si>
  <si>
    <t>• Right-click on the row where you want to insert the new task and select Insert Copied Cells.</t>
  </si>
  <si>
    <t>Help improve Excel by voting on a suggestion to fix this problem.</t>
  </si>
  <si>
    <t>METHOD 1 (recommended)</t>
  </si>
  <si>
    <t>You can either copy/paste/insert these template rows via Method 2 as explained above, OR you can just copy/paste the desired WBS cell when you want to change the WBS level.</t>
  </si>
  <si>
    <t>The set of template rows at the bottom of the Gantt Chart worksheet provide examples of different ways to format and define tasks for different WBS levels.</t>
  </si>
  <si>
    <t>Each different WBS level uses a different formula in the WBS column.</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</si>
  <si>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</si>
  <si>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</si>
  <si>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</si>
  <si>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</si>
  <si>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</si>
  <si>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</si>
  <si>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</si>
  <si>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</si>
  <si>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</si>
  <si>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</si>
  <si>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</si>
  <si>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</si>
  <si>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The %Complete for a group of tasks can be calculated from its sub tasks using the formula below, where "workdays" is a reference to the range of work day values and "complete" is a reference to the %complete for each of the subtasks.</t>
  </si>
  <si>
    <t>Entering work days instead of calendar days is a feature of the Pro version. There is nothing in the free version preventing you from entering your own formulas, though.</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</si>
  <si>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</si>
  <si>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</si>
  <si>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How do I change the </t>
    </r>
    <r>
      <rPr>
        <b/>
        <sz val="11"/>
        <color theme="4" tint="-0.249977111117893"/>
        <rFont val="Arial"/>
        <family val="2"/>
      </rPr>
      <t>Print Settings</t>
    </r>
    <r>
      <rPr>
        <sz val="11"/>
        <color theme="4" tint="-0.249977111117893"/>
        <rFont val="Arial"/>
        <family val="2"/>
      </rPr>
      <t>? (Excel 2010, 2013)</t>
    </r>
  </si>
  <si>
    <t>You will need to add columns to the right of the Gantt Chart via copy/paste. Copy and paste the columns in groups of 7. Afterwards, you will also probably need to update the print area.</t>
  </si>
  <si>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</si>
  <si>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</si>
  <si>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</si>
  <si>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t>Help</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</si>
  <si>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</si>
  <si>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</si>
  <si>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</si>
  <si>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r>
      <t xml:space="preserve">I've </t>
    </r>
    <r>
      <rPr>
        <b/>
        <sz val="11"/>
        <color theme="4" tint="-0.249977111117893"/>
        <rFont val="Arial"/>
        <family val="2"/>
      </rPr>
      <t>messed up</t>
    </r>
    <r>
      <rPr>
        <sz val="11"/>
        <color theme="4" tint="-0.249977111117893"/>
        <rFont val="Arial"/>
        <family val="2"/>
      </rPr>
      <t xml:space="preserve"> the chart area somehow. How do I fix it?</t>
    </r>
  </si>
  <si>
    <t>Though you can still use your own formulas for creating task dependencies, the Pro version</t>
  </si>
  <si>
    <t>includes template rows that calculate the Start date based on the WBS number that you enter</t>
  </si>
  <si>
    <t>in the Predecessor column.</t>
  </si>
  <si>
    <t>The versions designed for Excel 2010+ use the WORKDAY.INTL() and NETWORKDAYS.INTL()</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</si>
  <si>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</si>
  <si>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t>[Sub-task]</t>
  </si>
  <si>
    <t>Method 2 will work, but Excel will split/fracture/duplicate conditional formatting rules rather than merging the rules. This can cause inefficiencies in very large and heavily modified files.</t>
  </si>
  <si>
    <t>You can enter the Start date manually, or define task dependencies using a formula. Below are some common options for defining the Start date:</t>
  </si>
  <si>
    <t>Select the entire range of cells you want to print and go to File &gt; Print Area &gt; Set Print Area. Then go to File &gt; Page Setup or File &gt; Print Preview and adjust the Scaling, Margins, and Page Orientation as desired.</t>
  </si>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</sst>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m/d/yyyy\ \(dddd\)"/>
    <numFmt numFmtId="165" formatCode="ddd\ m/dd/yy"/>
    <numFmt numFmtId="166" formatCode="d"/>
    <numFmt numFmtId="167" formatCode="d\ mmm\ yyyy"/>
  </numFmts>
  <fonts count="72" x14ac:knownFonts="1">
    <font>
      <sz val="10"/>
      <name val="Arial"/>
    </font>
    <font>
      <sz val="10"/>
      <name val="Arial"/>
      <family val="2"/>
    </font>
    <font>
      <u/>
      <sz val="10"/>
      <color indexed="12"/>
      <name val="Arial"/>
      <family val="2"/>
    </font>
    <font>
      <sz val="8"/>
      <name val="Arial"/>
      <family val="2"/>
    </font>
    <font>
      <u/>
      <sz val="8"/>
      <color indexed="12"/>
      <name val="Arial"/>
      <family val="2"/>
    </font>
    <font>
      <b/>
      <sz val="12"/>
      <name val="Arial"/>
      <family val="2"/>
    </font>
    <font>
      <sz val="10"/>
      <name val="Arial"/>
      <family val="2"/>
    </font>
    <font>
      <b/>
      <sz val="10"/>
      <name val="Arial"/>
      <family val="2"/>
    </font>
    <font>
      <sz val="8"/>
      <color indexed="81"/>
      <name val="Tahoma"/>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i/>
      <sz val="9"/>
      <name val="Arial"/>
      <family val="2"/>
      <scheme val="minor"/>
    </font>
    <font>
      <b/>
      <sz val="10"/>
      <color rgb="FF000000"/>
      <name val="Arial"/>
      <family val="2"/>
      <scheme val="minor"/>
    </font>
    <font>
      <sz val="10"/>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b/>
      <sz val="11"/>
      <color rgb="FF000000"/>
      <name val="Arial"/>
      <family val="2"/>
      <scheme val="minor"/>
    </font>
    <font>
      <i/>
      <sz val="8"/>
      <color theme="1" tint="0.34998626667073579"/>
      <name val="Arial"/>
      <family val="2"/>
    </font>
    <font>
      <i/>
      <u/>
      <sz val="8"/>
      <color theme="1" tint="0.34998626667073579"/>
      <name val="Arial"/>
      <family val="2"/>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sz val="11"/>
      <color rgb="FF000000"/>
      <name val="Arial"/>
      <family val="2"/>
    </font>
    <font>
      <i/>
      <sz val="11"/>
      <name val="Arial"/>
      <family val="2"/>
    </font>
    <font>
      <b/>
      <sz val="11"/>
      <color theme="4" tint="-0.249977111117893"/>
      <name val="Arial"/>
      <family val="2"/>
    </font>
    <font>
      <sz val="11"/>
      <color theme="4" tint="-0.249977111117893"/>
      <name val="Arial"/>
      <family val="2"/>
    </font>
    <font>
      <i/>
      <sz val="11"/>
      <color rgb="FF000000"/>
      <name val="Arial"/>
      <family val="2"/>
    </font>
  </fonts>
  <fills count="2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rgb="FFFFFFFF"/>
        <bgColor rgb="FFFFFFFF"/>
      </patternFill>
    </fill>
    <fill>
      <patternFill patternType="solid">
        <fgColor theme="0" tint="-0.14999847407452621"/>
        <bgColor rgb="FFD9D9D9"/>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bottom style="thin">
        <color rgb="FFEFEFEF"/>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12" fillId="2"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2"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8"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0"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4" fillId="16" borderId="0" applyNumberFormat="0" applyBorder="0" applyAlignment="0" applyProtection="0"/>
    <xf numFmtId="0" fontId="15" fillId="17" borderId="1" applyNumberFormat="0" applyAlignment="0" applyProtection="0"/>
    <xf numFmtId="0" fontId="16" fillId="18" borderId="2" applyNumberFormat="0" applyAlignment="0" applyProtection="0"/>
    <xf numFmtId="0" fontId="17" fillId="0" borderId="0" applyNumberFormat="0" applyFill="0" applyBorder="0" applyAlignment="0" applyProtection="0"/>
    <xf numFmtId="0" fontId="18" fillId="19"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 fillId="0" borderId="0" applyNumberFormat="0" applyFill="0" applyBorder="0" applyAlignment="0" applyProtection="0">
      <alignment vertical="top"/>
      <protection locked="0"/>
    </xf>
    <xf numFmtId="0" fontId="22" fillId="11" borderId="1" applyNumberFormat="0" applyAlignment="0" applyProtection="0"/>
    <xf numFmtId="0" fontId="23" fillId="0" borderId="6" applyNumberFormat="0" applyFill="0" applyAlignment="0" applyProtection="0"/>
    <xf numFmtId="0" fontId="24" fillId="5" borderId="0" applyNumberFormat="0" applyBorder="0" applyAlignment="0" applyProtection="0"/>
    <xf numFmtId="0" fontId="6" fillId="5" borderId="7" applyNumberFormat="0" applyFont="0" applyAlignment="0" applyProtection="0"/>
    <xf numFmtId="0" fontId="25" fillId="17" borderId="8" applyNumberFormat="0" applyAlignment="0" applyProtection="0"/>
    <xf numFmtId="9" fontId="1" fillId="0" borderId="0" applyFont="0" applyFill="0" applyBorder="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cellStyleXfs>
  <cellXfs count="173">
    <xf numFmtId="0" fontId="0" fillId="0" borderId="0" xfId="0"/>
    <xf numFmtId="0" fontId="0" fillId="0" borderId="0" xfId="0" applyProtection="1"/>
    <xf numFmtId="0" fontId="0" fillId="20" borderId="0" xfId="0" applyFill="1" applyBorder="1"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1" fillId="0" borderId="0" xfId="0" applyFont="1"/>
    <xf numFmtId="0" fontId="1" fillId="0" borderId="0" xfId="0" applyFont="1" applyAlignment="1"/>
    <xf numFmtId="0" fontId="3" fillId="0" borderId="0" xfId="0" applyFont="1" applyBorder="1" applyAlignment="1">
      <alignment horizontal="right"/>
    </xf>
    <xf numFmtId="0" fontId="7" fillId="0" borderId="0" xfId="0" applyFont="1" applyFill="1" applyBorder="1" applyAlignment="1"/>
    <xf numFmtId="0" fontId="1" fillId="0" borderId="0" xfId="0" applyFont="1" applyFill="1" applyBorder="1" applyAlignment="1"/>
    <xf numFmtId="0" fontId="1" fillId="0" borderId="0" xfId="0" applyFont="1" applyAlignment="1">
      <alignment horizontal="left" wrapText="1" indent="1"/>
    </xf>
    <xf numFmtId="0" fontId="1" fillId="0" borderId="0" xfId="0" applyFont="1" applyFill="1" applyBorder="1" applyAlignment="1"/>
    <xf numFmtId="0" fontId="1" fillId="0" borderId="14" xfId="0" applyFont="1" applyBorder="1"/>
    <xf numFmtId="0" fontId="0" fillId="0" borderId="14" xfId="0" applyBorder="1"/>
    <xf numFmtId="0" fontId="0" fillId="0" borderId="0" xfId="0"/>
    <xf numFmtId="0" fontId="29" fillId="0" borderId="14" xfId="0" applyFont="1" applyBorder="1" applyAlignment="1">
      <alignment horizontal="left" wrapText="1"/>
    </xf>
    <xf numFmtId="0" fontId="5" fillId="0" borderId="14" xfId="0" applyFont="1" applyBorder="1" applyAlignment="1">
      <alignment horizontal="left" wrapText="1"/>
    </xf>
    <xf numFmtId="0" fontId="29" fillId="0" borderId="14" xfId="0" applyFont="1" applyBorder="1" applyAlignment="1">
      <alignment horizontal="left"/>
    </xf>
    <xf numFmtId="0" fontId="1" fillId="0" borderId="0" xfId="0" applyFont="1"/>
    <xf numFmtId="0" fontId="3" fillId="0" borderId="0" xfId="0" applyFont="1" applyAlignment="1">
      <alignment wrapText="1"/>
    </xf>
    <xf numFmtId="0" fontId="10" fillId="0" borderId="0" xfId="0" applyNumberFormat="1" applyFont="1" applyAlignment="1" applyProtection="1">
      <protection locked="0"/>
    </xf>
    <xf numFmtId="0" fontId="7" fillId="0" borderId="0" xfId="0" applyFont="1"/>
    <xf numFmtId="0" fontId="34" fillId="0" borderId="0" xfId="34" applyFont="1" applyAlignment="1" applyProtection="1"/>
    <xf numFmtId="0" fontId="35" fillId="0" borderId="0" xfId="0" applyFont="1"/>
    <xf numFmtId="0" fontId="36" fillId="0" borderId="0" xfId="0" applyFont="1"/>
    <xf numFmtId="0" fontId="33" fillId="0" borderId="0" xfId="0" applyFont="1"/>
    <xf numFmtId="0" fontId="3" fillId="0" borderId="0" xfId="0" applyFont="1" applyBorder="1" applyAlignment="1">
      <alignment horizontal="left" vertical="center"/>
    </xf>
    <xf numFmtId="0" fontId="2" fillId="0" borderId="0" xfId="34" applyAlignment="1" applyProtection="1">
      <alignment horizontal="left"/>
    </xf>
    <xf numFmtId="0" fontId="0" fillId="0" borderId="0" xfId="0" applyNumberFormat="1" applyFill="1" applyBorder="1" applyProtection="1">
      <protection locked="0"/>
    </xf>
    <xf numFmtId="0" fontId="0" fillId="0" borderId="0" xfId="0" applyProtection="1">
      <protection locked="0"/>
    </xf>
    <xf numFmtId="0" fontId="0" fillId="0" borderId="0" xfId="0" applyNumberFormat="1" applyProtection="1">
      <protection locked="0"/>
    </xf>
    <xf numFmtId="0" fontId="0" fillId="0" borderId="0" xfId="0" applyFill="1" applyBorder="1" applyProtection="1">
      <protection locked="0"/>
    </xf>
    <xf numFmtId="0" fontId="4" fillId="20" borderId="0" xfId="34" applyNumberFormat="1" applyFont="1" applyFill="1" applyAlignment="1" applyProtection="1">
      <alignment horizontal="right"/>
      <protection locked="0"/>
    </xf>
    <xf numFmtId="0" fontId="32" fillId="0" borderId="0" xfId="0" applyFont="1" applyAlignment="1">
      <alignment vertical="center"/>
    </xf>
    <xf numFmtId="0" fontId="29" fillId="0" borderId="15" xfId="0" applyFont="1" applyBorder="1" applyAlignment="1">
      <alignment horizontal="left" wrapText="1"/>
    </xf>
    <xf numFmtId="0" fontId="30" fillId="0" borderId="14" xfId="34" applyFont="1" applyBorder="1" applyAlignment="1" applyProtection="1">
      <alignment horizontal="left" wrapText="1"/>
    </xf>
    <xf numFmtId="0" fontId="37" fillId="0" borderId="15" xfId="34" applyFont="1" applyBorder="1" applyAlignment="1" applyProtection="1">
      <alignment wrapText="1"/>
    </xf>
    <xf numFmtId="0" fontId="33" fillId="0" borderId="0" xfId="0" applyFont="1" applyFill="1" applyBorder="1" applyAlignment="1"/>
    <xf numFmtId="0" fontId="32" fillId="0" borderId="0" xfId="0" applyFont="1" applyFill="1" applyBorder="1" applyAlignment="1">
      <alignment horizontal="left" vertical="center"/>
    </xf>
    <xf numFmtId="0" fontId="31" fillId="0" borderId="0" xfId="0" applyFont="1" applyFill="1" applyBorder="1" applyAlignment="1">
      <alignment horizontal="left" vertical="center"/>
    </xf>
    <xf numFmtId="0" fontId="1" fillId="0" borderId="0" xfId="0" applyFont="1" applyBorder="1"/>
    <xf numFmtId="0" fontId="1" fillId="0" borderId="15" xfId="0" applyFont="1" applyBorder="1"/>
    <xf numFmtId="0" fontId="0" fillId="0" borderId="15" xfId="0" applyBorder="1"/>
    <xf numFmtId="0" fontId="0" fillId="0" borderId="0" xfId="0" applyBorder="1"/>
    <xf numFmtId="0" fontId="29" fillId="0" borderId="0" xfId="0" applyFont="1" applyBorder="1" applyAlignment="1">
      <alignment horizontal="left" wrapText="1"/>
    </xf>
    <xf numFmtId="0" fontId="9" fillId="0" borderId="0" xfId="0" applyNumberFormat="1" applyFont="1" applyFill="1" applyBorder="1" applyAlignment="1" applyProtection="1">
      <alignment vertical="center"/>
      <protection locked="0"/>
    </xf>
    <xf numFmtId="0" fontId="1" fillId="0" borderId="0" xfId="0" applyFont="1" applyFill="1" applyAlignment="1" applyProtection="1"/>
    <xf numFmtId="0" fontId="43" fillId="0" borderId="0" xfId="0" applyNumberFormat="1" applyFont="1" applyFill="1" applyBorder="1" applyProtection="1"/>
    <xf numFmtId="0" fontId="43" fillId="0" borderId="0" xfId="0" applyFont="1" applyProtection="1"/>
    <xf numFmtId="0" fontId="43" fillId="0" borderId="0" xfId="0" applyNumberFormat="1" applyFont="1" applyProtection="1"/>
    <xf numFmtId="0" fontId="44" fillId="0" borderId="0" xfId="0" applyNumberFormat="1" applyFont="1" applyAlignment="1" applyProtection="1">
      <alignment vertical="center"/>
      <protection locked="0"/>
    </xf>
    <xf numFmtId="0" fontId="46" fillId="24" borderId="10" xfId="0" applyNumberFormat="1" applyFont="1" applyFill="1" applyBorder="1" applyAlignment="1" applyProtection="1">
      <alignment horizontal="left" vertical="center"/>
    </xf>
    <xf numFmtId="0" fontId="46" fillId="24" borderId="10" xfId="0" applyFont="1" applyFill="1" applyBorder="1" applyAlignment="1" applyProtection="1">
      <alignment vertical="center"/>
    </xf>
    <xf numFmtId="0" fontId="42" fillId="24" borderId="10" xfId="0" applyFont="1" applyFill="1" applyBorder="1" applyAlignment="1" applyProtection="1">
      <alignment vertical="center"/>
    </xf>
    <xf numFmtId="0" fontId="42" fillId="24" borderId="10" xfId="0" applyNumberFormat="1" applyFont="1" applyFill="1" applyBorder="1" applyAlignment="1" applyProtection="1">
      <alignment horizontal="center" vertical="center"/>
    </xf>
    <xf numFmtId="1" fontId="42" fillId="24" borderId="10" xfId="40" applyNumberFormat="1" applyFont="1" applyFill="1" applyBorder="1" applyAlignment="1" applyProtection="1">
      <alignment horizontal="center" vertical="center"/>
    </xf>
    <xf numFmtId="9" fontId="42" fillId="24" borderId="10" xfId="40" applyFont="1" applyFill="1" applyBorder="1" applyAlignment="1" applyProtection="1">
      <alignment horizontal="center" vertical="center"/>
    </xf>
    <xf numFmtId="1" fontId="42" fillId="24" borderId="10" xfId="0" applyNumberFormat="1" applyFont="1" applyFill="1" applyBorder="1" applyAlignment="1" applyProtection="1">
      <alignment horizontal="center" vertical="center"/>
    </xf>
    <xf numFmtId="0" fontId="42" fillId="0" borderId="10" xfId="0" applyNumberFormat="1" applyFont="1" applyFill="1" applyBorder="1" applyAlignment="1" applyProtection="1">
      <alignment horizontal="left" vertical="center"/>
    </xf>
    <xf numFmtId="0" fontId="42" fillId="0" borderId="10" xfId="0" applyFont="1" applyFill="1" applyBorder="1" applyAlignment="1" applyProtection="1">
      <alignment vertical="center"/>
    </xf>
    <xf numFmtId="1" fontId="47" fillId="26" borderId="12" xfId="0" applyNumberFormat="1" applyFont="1" applyFill="1" applyBorder="1" applyAlignment="1" applyProtection="1">
      <alignment horizontal="center" vertical="center"/>
    </xf>
    <xf numFmtId="9" fontId="47" fillId="26" borderId="12" xfId="40" applyFont="1" applyFill="1" applyBorder="1" applyAlignment="1" applyProtection="1">
      <alignment horizontal="center" vertical="center"/>
    </xf>
    <xf numFmtId="1" fontId="47" fillId="0" borderId="12" xfId="0" applyNumberFormat="1" applyFont="1" applyBorder="1" applyAlignment="1" applyProtection="1">
      <alignment horizontal="center" vertical="center"/>
    </xf>
    <xf numFmtId="0" fontId="48" fillId="0" borderId="10" xfId="0" applyFont="1" applyFill="1" applyBorder="1" applyAlignment="1" applyProtection="1">
      <alignment vertical="center"/>
    </xf>
    <xf numFmtId="0" fontId="42" fillId="0" borderId="10" xfId="0" applyNumberFormat="1" applyFont="1" applyFill="1" applyBorder="1" applyAlignment="1" applyProtection="1">
      <alignment horizontal="center" vertical="center"/>
    </xf>
    <xf numFmtId="1" fontId="42" fillId="0" borderId="10" xfId="40" applyNumberFormat="1" applyFont="1" applyFill="1" applyBorder="1" applyAlignment="1" applyProtection="1">
      <alignment horizontal="center" vertical="center"/>
    </xf>
    <xf numFmtId="9" fontId="42" fillId="0" borderId="10" xfId="40" applyFont="1" applyFill="1" applyBorder="1" applyAlignment="1" applyProtection="1">
      <alignment horizontal="center" vertical="center"/>
    </xf>
    <xf numFmtId="1" fontId="42" fillId="0" borderId="10" xfId="0" applyNumberFormat="1" applyFont="1" applyFill="1" applyBorder="1" applyAlignment="1" applyProtection="1">
      <alignment horizontal="center" vertical="center"/>
    </xf>
    <xf numFmtId="0" fontId="42" fillId="0" borderId="0" xfId="0" applyFont="1" applyFill="1" applyBorder="1" applyAlignment="1" applyProtection="1">
      <alignment vertical="center"/>
    </xf>
    <xf numFmtId="0" fontId="49" fillId="23" borderId="0" xfId="0" applyFont="1" applyFill="1" applyBorder="1" applyAlignment="1" applyProtection="1">
      <alignment vertical="center"/>
    </xf>
    <xf numFmtId="0" fontId="45" fillId="24" borderId="0" xfId="0" applyFont="1" applyFill="1" applyAlignment="1" applyProtection="1">
      <alignment vertical="center"/>
    </xf>
    <xf numFmtId="0" fontId="50" fillId="23" borderId="0" xfId="0" applyFont="1" applyFill="1" applyBorder="1" applyAlignment="1" applyProtection="1">
      <alignment vertical="center"/>
    </xf>
    <xf numFmtId="0" fontId="51" fillId="24" borderId="0" xfId="0" applyFont="1" applyFill="1" applyAlignment="1" applyProtection="1">
      <alignment vertical="center"/>
    </xf>
    <xf numFmtId="0" fontId="51" fillId="0" borderId="0" xfId="0" applyFont="1" applyFill="1" applyBorder="1" applyAlignment="1" applyProtection="1">
      <alignment vertical="center"/>
    </xf>
    <xf numFmtId="0" fontId="47" fillId="23" borderId="0" xfId="0" applyFont="1" applyFill="1" applyBorder="1" applyAlignment="1" applyProtection="1">
      <alignment vertical="center"/>
    </xf>
    <xf numFmtId="0" fontId="42" fillId="24" borderId="0" xfId="0" applyFont="1" applyFill="1" applyAlignment="1" applyProtection="1">
      <alignment vertical="center"/>
    </xf>
    <xf numFmtId="0" fontId="47" fillId="22" borderId="11" xfId="0" applyFont="1" applyFill="1" applyBorder="1" applyAlignment="1" applyProtection="1">
      <alignment vertical="center"/>
    </xf>
    <xf numFmtId="0" fontId="47" fillId="0" borderId="12" xfId="0" quotePrefix="1" applyFont="1" applyFill="1" applyBorder="1" applyAlignment="1" applyProtection="1">
      <alignment horizontal="center" vertical="center"/>
    </xf>
    <xf numFmtId="1" fontId="47" fillId="0" borderId="12" xfId="0" applyNumberFormat="1" applyFont="1" applyFill="1" applyBorder="1" applyAlignment="1" applyProtection="1">
      <alignment horizontal="center" vertical="center"/>
    </xf>
    <xf numFmtId="0" fontId="47" fillId="0" borderId="12" xfId="0" applyFont="1" applyBorder="1" applyAlignment="1" applyProtection="1">
      <alignment vertical="center"/>
    </xf>
    <xf numFmtId="0" fontId="47" fillId="0" borderId="12" xfId="0" applyFont="1" applyBorder="1" applyAlignment="1" applyProtection="1">
      <alignment horizontal="left" vertical="center"/>
    </xf>
    <xf numFmtId="166" fontId="3" fillId="0" borderId="13" xfId="0" applyNumberFormat="1" applyFont="1" applyFill="1" applyBorder="1" applyAlignment="1" applyProtection="1">
      <alignment horizontal="center" vertical="center" shrinkToFit="1"/>
    </xf>
    <xf numFmtId="0" fontId="46" fillId="24" borderId="16" xfId="0" applyNumberFormat="1" applyFont="1" applyFill="1" applyBorder="1" applyAlignment="1" applyProtection="1">
      <alignment horizontal="left" vertical="center"/>
    </xf>
    <xf numFmtId="0" fontId="46" fillId="24" borderId="16" xfId="0" applyFont="1" applyFill="1" applyBorder="1" applyAlignment="1" applyProtection="1">
      <alignment vertical="center"/>
    </xf>
    <xf numFmtId="0" fontId="42" fillId="24" borderId="16" xfId="0" applyFont="1" applyFill="1" applyBorder="1" applyAlignment="1" applyProtection="1">
      <alignment vertical="center"/>
    </xf>
    <xf numFmtId="0" fontId="42" fillId="24" borderId="16" xfId="0" applyNumberFormat="1" applyFont="1" applyFill="1" applyBorder="1" applyAlignment="1" applyProtection="1">
      <alignment horizontal="center" vertical="center"/>
    </xf>
    <xf numFmtId="165" fontId="42" fillId="24" borderId="16" xfId="0" applyNumberFormat="1" applyFont="1" applyFill="1" applyBorder="1" applyAlignment="1" applyProtection="1">
      <alignment horizontal="right" vertical="center"/>
    </xf>
    <xf numFmtId="1" fontId="42" fillId="24" borderId="16" xfId="40" applyNumberFormat="1" applyFont="1" applyFill="1" applyBorder="1" applyAlignment="1" applyProtection="1">
      <alignment horizontal="center" vertical="center"/>
    </xf>
    <xf numFmtId="9" fontId="42" fillId="24" borderId="16" xfId="40" applyFont="1" applyFill="1" applyBorder="1" applyAlignment="1" applyProtection="1">
      <alignment horizontal="center" vertical="center"/>
    </xf>
    <xf numFmtId="1" fontId="42" fillId="24" borderId="16" xfId="0" applyNumberFormat="1" applyFont="1" applyFill="1" applyBorder="1" applyAlignment="1" applyProtection="1">
      <alignment horizontal="center" vertical="center"/>
    </xf>
    <xf numFmtId="166" fontId="3" fillId="0" borderId="18" xfId="0" applyNumberFormat="1" applyFont="1" applyFill="1" applyBorder="1" applyAlignment="1" applyProtection="1">
      <alignment horizontal="center" vertical="center" shrinkToFit="1"/>
    </xf>
    <xf numFmtId="166" fontId="3" fillId="0" borderId="19" xfId="0" applyNumberFormat="1" applyFont="1" applyFill="1" applyBorder="1" applyAlignment="1" applyProtection="1">
      <alignment horizontal="center" vertical="center" shrinkToFit="1"/>
    </xf>
    <xf numFmtId="1" fontId="53" fillId="24" borderId="16" xfId="0" applyNumberFormat="1" applyFont="1" applyFill="1" applyBorder="1" applyAlignment="1" applyProtection="1">
      <alignment horizontal="center" vertical="center"/>
    </xf>
    <xf numFmtId="1" fontId="54" fillId="0" borderId="12" xfId="0" applyNumberFormat="1" applyFont="1" applyBorder="1" applyAlignment="1" applyProtection="1">
      <alignment horizontal="center" vertical="center"/>
    </xf>
    <xf numFmtId="1" fontId="53" fillId="24" borderId="10" xfId="0" applyNumberFormat="1" applyFont="1" applyFill="1" applyBorder="1" applyAlignment="1" applyProtection="1">
      <alignment horizontal="center" vertical="center"/>
    </xf>
    <xf numFmtId="1" fontId="53" fillId="0" borderId="10" xfId="0" applyNumberFormat="1" applyFont="1" applyFill="1" applyBorder="1" applyAlignment="1" applyProtection="1">
      <alignment horizontal="center" vertical="center"/>
    </xf>
    <xf numFmtId="0" fontId="53" fillId="24" borderId="0" xfId="0" applyFont="1" applyFill="1" applyAlignment="1" applyProtection="1">
      <alignment vertical="center"/>
    </xf>
    <xf numFmtId="1" fontId="54" fillId="0" borderId="12" xfId="0" applyNumberFormat="1" applyFont="1" applyFill="1" applyBorder="1" applyAlignment="1" applyProtection="1">
      <alignment horizontal="center" vertical="center"/>
    </xf>
    <xf numFmtId="165" fontId="47" fillId="25" borderId="12" xfId="0" applyNumberFormat="1" applyFont="1" applyFill="1" applyBorder="1" applyAlignment="1" applyProtection="1">
      <alignment horizontal="center" vertical="center"/>
    </xf>
    <xf numFmtId="165" fontId="47" fillId="0" borderId="12" xfId="0" applyNumberFormat="1" applyFont="1" applyBorder="1" applyAlignment="1" applyProtection="1">
      <alignment horizontal="center" vertical="center"/>
    </xf>
    <xf numFmtId="165" fontId="42" fillId="24" borderId="10" xfId="0" applyNumberFormat="1" applyFont="1" applyFill="1" applyBorder="1" applyAlignment="1" applyProtection="1">
      <alignment horizontal="center" vertical="center"/>
    </xf>
    <xf numFmtId="0" fontId="48" fillId="0" borderId="10" xfId="0" applyFont="1" applyFill="1" applyBorder="1" applyAlignment="1" applyProtection="1">
      <alignment horizontal="center" vertical="center"/>
    </xf>
    <xf numFmtId="0" fontId="50" fillId="23" borderId="0" xfId="0" applyFont="1" applyFill="1" applyBorder="1" applyAlignment="1" applyProtection="1">
      <alignment horizontal="center" vertical="center"/>
    </xf>
    <xf numFmtId="0" fontId="42" fillId="24" borderId="0" xfId="0" applyFont="1" applyFill="1" applyAlignment="1" applyProtection="1">
      <alignment horizontal="center" vertical="center"/>
    </xf>
    <xf numFmtId="0" fontId="42" fillId="24" borderId="16" xfId="0" applyFont="1" applyFill="1" applyBorder="1" applyAlignment="1" applyProtection="1">
      <alignment horizontal="left" vertical="center"/>
    </xf>
    <xf numFmtId="0" fontId="42" fillId="0" borderId="10" xfId="0" applyFont="1" applyFill="1" applyBorder="1" applyAlignment="1" applyProtection="1">
      <alignment horizontal="left" vertical="center"/>
    </xf>
    <xf numFmtId="9" fontId="42" fillId="0" borderId="10" xfId="0" applyNumberFormat="1" applyFont="1" applyFill="1" applyBorder="1" applyAlignment="1" applyProtection="1">
      <alignment horizontal="left" vertical="center"/>
    </xf>
    <xf numFmtId="0" fontId="42" fillId="24" borderId="10" xfId="0" applyFont="1" applyFill="1" applyBorder="1" applyAlignment="1" applyProtection="1">
      <alignment horizontal="left" vertical="center"/>
    </xf>
    <xf numFmtId="0" fontId="55" fillId="0" borderId="0" xfId="0" applyNumberFormat="1" applyFont="1" applyFill="1" applyBorder="1" applyProtection="1"/>
    <xf numFmtId="0" fontId="55" fillId="0" borderId="0" xfId="0" applyFont="1" applyFill="1" applyBorder="1" applyProtection="1"/>
    <xf numFmtId="0" fontId="1" fillId="0" borderId="0" xfId="0" applyFont="1" applyFill="1" applyBorder="1" applyProtection="1"/>
    <xf numFmtId="0" fontId="55" fillId="0" borderId="0" xfId="0" applyFont="1" applyProtection="1"/>
    <xf numFmtId="0" fontId="55" fillId="0" borderId="0" xfId="0" applyFont="1" applyFill="1" applyAlignment="1" applyProtection="1">
      <alignment horizontal="right" vertical="center"/>
    </xf>
    <xf numFmtId="165" fontId="42" fillId="24" borderId="16" xfId="0" applyNumberFormat="1" applyFont="1" applyFill="1" applyBorder="1" applyAlignment="1" applyProtection="1">
      <alignment horizontal="center" vertical="center"/>
    </xf>
    <xf numFmtId="0" fontId="56" fillId="0" borderId="20" xfId="0" applyNumberFormat="1" applyFont="1" applyFill="1" applyBorder="1" applyAlignment="1" applyProtection="1">
      <alignment horizontal="left" vertical="center"/>
    </xf>
    <xf numFmtId="0" fontId="56" fillId="0" borderId="20" xfId="0" applyFont="1" applyFill="1" applyBorder="1" applyAlignment="1" applyProtection="1">
      <alignment horizontal="left" vertical="center"/>
    </xf>
    <xf numFmtId="0" fontId="56" fillId="0" borderId="20" xfId="0" applyFont="1" applyFill="1" applyBorder="1" applyAlignment="1" applyProtection="1">
      <alignment horizontal="center" vertical="center" wrapText="1"/>
    </xf>
    <xf numFmtId="0" fontId="57" fillId="0" borderId="20" xfId="0" applyNumberFormat="1" applyFont="1" applyFill="1" applyBorder="1" applyAlignment="1" applyProtection="1">
      <alignment horizontal="center" vertical="center" wrapText="1"/>
    </xf>
    <xf numFmtId="0" fontId="56" fillId="0" borderId="20" xfId="0" applyFont="1" applyFill="1" applyBorder="1" applyAlignment="1" applyProtection="1">
      <alignment horizontal="center" vertical="center"/>
    </xf>
    <xf numFmtId="0" fontId="42" fillId="0" borderId="21" xfId="0" applyNumberFormat="1" applyFont="1" applyFill="1" applyBorder="1" applyAlignment="1" applyProtection="1">
      <alignment horizontal="center" vertical="center" shrinkToFit="1"/>
    </xf>
    <xf numFmtId="0" fontId="42" fillId="0" borderId="22" xfId="0" applyNumberFormat="1" applyFont="1" applyFill="1" applyBorder="1" applyAlignment="1" applyProtection="1">
      <alignment horizontal="center" vertical="center" shrinkToFit="1"/>
    </xf>
    <xf numFmtId="0" fontId="42" fillId="0" borderId="23" xfId="0" applyNumberFormat="1" applyFont="1" applyFill="1" applyBorder="1" applyAlignment="1" applyProtection="1">
      <alignment horizontal="center" vertical="center" shrinkToFit="1"/>
    </xf>
    <xf numFmtId="0" fontId="1" fillId="0" borderId="0" xfId="0" applyFont="1" applyFill="1" applyBorder="1" applyAlignment="1" applyProtection="1"/>
    <xf numFmtId="0" fontId="58" fillId="0" borderId="0" xfId="0" applyNumberFormat="1" applyFont="1" applyFill="1" applyBorder="1" applyAlignment="1" applyProtection="1">
      <alignment vertical="center"/>
      <protection locked="0"/>
    </xf>
    <xf numFmtId="0" fontId="42" fillId="0" borderId="10" xfId="0" applyFont="1" applyFill="1" applyBorder="1" applyAlignment="1" applyProtection="1">
      <alignment vertical="center" wrapText="1"/>
    </xf>
    <xf numFmtId="0" fontId="47" fillId="0" borderId="12" xfId="0" applyFont="1" applyFill="1" applyBorder="1" applyAlignment="1" applyProtection="1">
      <alignment horizontal="center" vertical="center"/>
    </xf>
    <xf numFmtId="0" fontId="42" fillId="0" borderId="10" xfId="0" applyFont="1" applyFill="1" applyBorder="1" applyAlignment="1" applyProtection="1">
      <alignment horizontal="left" vertical="center" wrapText="1" indent="1"/>
    </xf>
    <xf numFmtId="0" fontId="45" fillId="0" borderId="24" xfId="0" applyNumberFormat="1" applyFont="1" applyFill="1" applyBorder="1" applyAlignment="1" applyProtection="1">
      <alignment horizontal="center" vertical="center"/>
      <protection locked="0"/>
    </xf>
    <xf numFmtId="0" fontId="46" fillId="0" borderId="10" xfId="0" applyNumberFormat="1" applyFont="1" applyFill="1" applyBorder="1" applyAlignment="1" applyProtection="1">
      <alignment horizontal="left" vertical="center"/>
    </xf>
    <xf numFmtId="0" fontId="59" fillId="22" borderId="11" xfId="0" applyFont="1" applyFill="1" applyBorder="1" applyAlignment="1" applyProtection="1">
      <alignment vertical="center"/>
    </xf>
    <xf numFmtId="0" fontId="1" fillId="0" borderId="0" xfId="0" applyFont="1" applyAlignment="1" applyProtection="1">
      <alignment horizontal="right" vertical="center"/>
    </xf>
    <xf numFmtId="0" fontId="62" fillId="0" borderId="0" xfId="0" applyFont="1" applyFill="1" applyBorder="1" applyAlignment="1"/>
    <xf numFmtId="0" fontId="1" fillId="0" borderId="0" xfId="0" applyFont="1" applyAlignment="1">
      <alignment vertical="center"/>
    </xf>
    <xf numFmtId="0" fontId="1" fillId="26" borderId="0" xfId="0" applyFont="1" applyFill="1" applyAlignment="1">
      <alignment horizontal="center" vertical="center"/>
    </xf>
    <xf numFmtId="0" fontId="1" fillId="21" borderId="0" xfId="0" applyFont="1" applyFill="1" applyBorder="1" applyAlignment="1">
      <alignment horizontal="center" vertical="center"/>
    </xf>
    <xf numFmtId="0" fontId="63" fillId="0" borderId="0" xfId="0" applyFont="1" applyAlignment="1">
      <alignment wrapText="1"/>
    </xf>
    <xf numFmtId="0" fontId="37" fillId="0" borderId="0" xfId="34" applyFont="1" applyAlignment="1" applyProtection="1"/>
    <xf numFmtId="0" fontId="63" fillId="0" borderId="0" xfId="0" applyFont="1" applyAlignment="1">
      <alignment horizontal="left" wrapText="1"/>
    </xf>
    <xf numFmtId="0" fontId="63" fillId="0" borderId="0" xfId="0" applyFont="1" applyAlignment="1">
      <alignment vertical="center" wrapText="1"/>
    </xf>
    <xf numFmtId="0" fontId="63" fillId="0" borderId="0" xfId="0" applyFont="1" applyFill="1" applyBorder="1" applyAlignment="1">
      <alignment vertical="center" wrapText="1"/>
    </xf>
    <xf numFmtId="0" fontId="64" fillId="0" borderId="0" xfId="0" applyFont="1" applyAlignment="1">
      <alignment vertical="center"/>
    </xf>
    <xf numFmtId="0" fontId="64" fillId="0" borderId="0" xfId="0" applyFont="1"/>
    <xf numFmtId="0" fontId="64" fillId="0" borderId="0" xfId="0" applyFont="1" applyAlignment="1"/>
    <xf numFmtId="0" fontId="65" fillId="0" borderId="0" xfId="0" applyFont="1" applyFill="1" applyBorder="1" applyAlignment="1">
      <alignment vertical="center" wrapText="1"/>
    </xf>
    <xf numFmtId="0" fontId="64" fillId="0" borderId="0" xfId="0" applyFont="1" applyBorder="1"/>
    <xf numFmtId="0" fontId="37" fillId="0" borderId="0" xfId="34" applyFont="1" applyFill="1" applyBorder="1" applyAlignment="1" applyProtection="1">
      <alignment vertical="center"/>
    </xf>
    <xf numFmtId="0" fontId="67" fillId="0" borderId="0" xfId="0" applyFont="1" applyAlignment="1">
      <alignment horizontal="right"/>
    </xf>
    <xf numFmtId="0" fontId="63" fillId="0" borderId="0" xfId="0" applyFont="1"/>
    <xf numFmtId="0" fontId="63" fillId="0" borderId="0" xfId="0" applyFont="1" applyAlignment="1"/>
    <xf numFmtId="0" fontId="63" fillId="0" borderId="0" xfId="0" applyFont="1" applyAlignment="1">
      <alignment horizontal="left" indent="1"/>
    </xf>
    <xf numFmtId="0" fontId="63" fillId="0" borderId="0" xfId="0" quotePrefix="1" applyFont="1" applyAlignment="1">
      <alignment horizontal="left" wrapText="1" indent="1"/>
    </xf>
    <xf numFmtId="0" fontId="36" fillId="0" borderId="0" xfId="0" quotePrefix="1" applyFont="1" applyAlignment="1">
      <alignment horizontal="left" indent="1"/>
    </xf>
    <xf numFmtId="0" fontId="67" fillId="0" borderId="0" xfId="0" applyFont="1" applyAlignment="1">
      <alignment horizontal="left" wrapText="1"/>
    </xf>
    <xf numFmtId="0" fontId="63" fillId="0" borderId="0" xfId="0" applyFont="1" applyFill="1" applyBorder="1" applyAlignment="1">
      <alignment horizontal="left" vertical="center" wrapText="1"/>
    </xf>
    <xf numFmtId="0" fontId="69" fillId="0" borderId="0" xfId="0" applyFont="1" applyAlignment="1">
      <alignment horizontal="right"/>
    </xf>
    <xf numFmtId="0" fontId="70" fillId="0" borderId="0" xfId="0" applyFont="1" applyFill="1" applyBorder="1" applyAlignment="1">
      <alignment vertical="center" wrapText="1"/>
    </xf>
    <xf numFmtId="0" fontId="63" fillId="0" borderId="0" xfId="0" quotePrefix="1" applyFont="1" applyAlignment="1">
      <alignment wrapText="1"/>
    </xf>
    <xf numFmtId="0" fontId="70" fillId="0" borderId="0" xfId="0" applyFont="1" applyAlignment="1"/>
    <xf numFmtId="0" fontId="11" fillId="0" borderId="0" xfId="0" applyFont="1" applyAlignment="1" applyProtection="1">
      <protection locked="0"/>
    </xf>
    <xf numFmtId="0" fontId="70" fillId="0" borderId="0" xfId="0" applyFont="1"/>
    <xf numFmtId="0" fontId="69" fillId="0" borderId="0" xfId="0" applyFont="1" applyFill="1" applyBorder="1" applyAlignment="1"/>
    <xf numFmtId="0" fontId="60" fillId="0" borderId="0" xfId="34" applyFont="1" applyBorder="1" applyAlignment="1" applyProtection="1">
      <alignment horizontal="left" vertical="center"/>
    </xf>
    <xf numFmtId="164" fontId="45" fillId="0" borderId="17" xfId="0" applyNumberFormat="1" applyFont="1" applyFill="1" applyBorder="1" applyAlignment="1" applyProtection="1">
      <alignment horizontal="center" vertical="center" shrinkToFit="1"/>
      <protection locked="0"/>
    </xf>
    <xf numFmtId="0" fontId="52" fillId="0" borderId="18" xfId="0" applyNumberFormat="1" applyFont="1" applyFill="1" applyBorder="1" applyAlignment="1" applyProtection="1">
      <alignment horizontal="center" vertical="center"/>
    </xf>
    <xf numFmtId="0" fontId="52" fillId="0" borderId="13" xfId="0" applyNumberFormat="1" applyFont="1" applyFill="1" applyBorder="1" applyAlignment="1" applyProtection="1">
      <alignment horizontal="center" vertical="center"/>
    </xf>
    <xf numFmtId="0" fontId="52" fillId="0" borderId="19" xfId="0" applyNumberFormat="1" applyFont="1" applyFill="1" applyBorder="1" applyAlignment="1" applyProtection="1">
      <alignment horizontal="center" vertical="center"/>
    </xf>
    <xf numFmtId="164" fontId="45" fillId="0" borderId="24" xfId="0" applyNumberFormat="1" applyFont="1" applyFill="1" applyBorder="1" applyAlignment="1" applyProtection="1">
      <alignment horizontal="center" vertical="center" shrinkToFit="1"/>
      <protection locked="0"/>
    </xf>
    <xf numFmtId="167" fontId="45" fillId="0" borderId="18" xfId="0" applyNumberFormat="1" applyFont="1" applyFill="1" applyBorder="1" applyAlignment="1" applyProtection="1">
      <alignment horizontal="center" vertical="center"/>
    </xf>
    <xf numFmtId="167" fontId="45" fillId="0" borderId="13" xfId="0" applyNumberFormat="1" applyFont="1" applyFill="1" applyBorder="1" applyAlignment="1" applyProtection="1">
      <alignment horizontal="center" vertical="center"/>
    </xf>
    <xf numFmtId="167" fontId="45" fillId="0" borderId="19" xfId="0" applyNumberFormat="1" applyFont="1" applyFill="1" applyBorder="1" applyAlignment="1" applyProtection="1">
      <alignment horizontal="center" vertical="center"/>
    </xf>
    <xf numFmtId="0" fontId="62" fillId="0" borderId="0"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1"/>
          <a:ext cx="1504950" cy="3386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excel-gantt-chart.html"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7" Type="http://schemas.openxmlformats.org/officeDocument/2006/relationships/comments" Target="../comments2.xm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BN44"/>
  <sheetViews>
    <sheetView showGridLines="0" tabSelected="1" zoomScaleNormal="100" workbookViewId="0">
      <pane ySplit="7" topLeftCell="A8" activePane="bottomLeft" state="frozen"/>
      <selection pane="bottomLeft" activeCell="B42" sqref="B42"/>
    </sheetView>
  </sheetViews>
  <sheetFormatPr defaultColWidth="9.140625" defaultRowHeight="12.75" x14ac:dyDescent="0.2"/>
  <cols>
    <col min="1" max="1" width="6.85546875" style="5" customWidth="1"/>
    <col min="2" max="2" width="19" style="1" customWidth="1"/>
    <col min="3" max="3" width="7.7109375" style="1" customWidth="1"/>
    <col min="4" max="4" width="6.85546875" style="6" hidden="1" customWidth="1"/>
    <col min="5" max="6" width="12" style="1" customWidth="1"/>
    <col min="7" max="7" width="6" style="1" customWidth="1"/>
    <col min="8" max="8" width="6.7109375" style="1" customWidth="1"/>
    <col min="9" max="9" width="6.42578125" style="1" customWidth="1"/>
    <col min="10" max="10" width="1.85546875" style="1" customWidth="1"/>
    <col min="11" max="66" width="2.42578125" style="1" customWidth="1"/>
    <col min="67" max="16384" width="9.140625" style="3"/>
  </cols>
  <sheetData>
    <row r="1" spans="1:66" ht="30" customHeight="1" x14ac:dyDescent="0.2">
      <c r="A1" s="125" t="s">
        <v>2</v>
      </c>
      <c r="B1" s="47"/>
      <c r="C1" s="47"/>
      <c r="D1" s="47"/>
      <c r="E1" s="47"/>
      <c r="F1" s="47"/>
      <c r="I1" s="132"/>
      <c r="K1" s="163" t="s">
        <v>82</v>
      </c>
      <c r="L1" s="163"/>
      <c r="M1" s="163"/>
      <c r="N1" s="163"/>
      <c r="O1" s="163"/>
      <c r="P1" s="163"/>
      <c r="Q1" s="163"/>
      <c r="R1" s="163"/>
      <c r="S1" s="163"/>
      <c r="T1" s="163"/>
      <c r="U1" s="163"/>
      <c r="V1" s="163"/>
      <c r="W1" s="163"/>
      <c r="X1" s="163"/>
      <c r="Y1" s="163"/>
      <c r="Z1" s="163"/>
      <c r="AA1" s="163"/>
      <c r="AB1" s="163"/>
      <c r="AC1" s="163"/>
      <c r="AD1" s="163"/>
      <c r="AE1" s="163"/>
    </row>
    <row r="2" spans="1:66" ht="18" customHeight="1" x14ac:dyDescent="0.2">
      <c r="A2" s="52" t="s">
        <v>0</v>
      </c>
      <c r="B2" s="22"/>
      <c r="C2" s="22"/>
      <c r="D2" s="34"/>
      <c r="E2" s="160"/>
      <c r="F2" s="160"/>
      <c r="H2" s="2"/>
    </row>
    <row r="3" spans="1:66" ht="14.25" x14ac:dyDescent="0.2">
      <c r="A3" s="52"/>
      <c r="B3" s="48"/>
      <c r="C3" s="4"/>
      <c r="D3" s="4"/>
      <c r="E3" s="4"/>
      <c r="F3" s="4"/>
      <c r="G3" s="4"/>
      <c r="H3" s="2"/>
      <c r="K3" s="29"/>
      <c r="L3" s="29"/>
      <c r="M3" s="29"/>
      <c r="N3" s="29"/>
      <c r="O3" s="29"/>
      <c r="P3" s="29"/>
      <c r="Q3" s="29"/>
      <c r="R3" s="29"/>
      <c r="S3" s="29"/>
      <c r="T3" s="29"/>
      <c r="U3" s="29"/>
      <c r="V3" s="29"/>
      <c r="W3" s="29"/>
      <c r="X3" s="29"/>
      <c r="Y3" s="29"/>
      <c r="Z3" s="29"/>
      <c r="AA3" s="29"/>
    </row>
    <row r="4" spans="1:66" ht="17.25" customHeight="1" x14ac:dyDescent="0.2">
      <c r="A4" s="110"/>
      <c r="B4" s="114" t="s">
        <v>79</v>
      </c>
      <c r="C4" s="168">
        <v>43129</v>
      </c>
      <c r="D4" s="168"/>
      <c r="E4" s="168"/>
      <c r="F4" s="111"/>
      <c r="G4" s="114" t="s">
        <v>78</v>
      </c>
      <c r="H4" s="129">
        <v>1</v>
      </c>
      <c r="I4" s="112"/>
      <c r="J4" s="50"/>
      <c r="K4" s="165" t="str">
        <f>"Week "&amp;(K6-($C$4-WEEKDAY($C$4,1)+2))/7+1</f>
        <v>Week 1</v>
      </c>
      <c r="L4" s="166"/>
      <c r="M4" s="166"/>
      <c r="N4" s="166"/>
      <c r="O4" s="166"/>
      <c r="P4" s="166"/>
      <c r="Q4" s="167"/>
      <c r="R4" s="165" t="str">
        <f>"Week "&amp;(R6-($C$4-WEEKDAY($C$4,1)+2))/7+1</f>
        <v>Week 2</v>
      </c>
      <c r="S4" s="166"/>
      <c r="T4" s="166"/>
      <c r="U4" s="166"/>
      <c r="V4" s="166"/>
      <c r="W4" s="166"/>
      <c r="X4" s="167"/>
      <c r="Y4" s="165" t="str">
        <f>"Week "&amp;(Y6-($C$4-WEEKDAY($C$4,1)+2))/7+1</f>
        <v>Week 3</v>
      </c>
      <c r="Z4" s="166"/>
      <c r="AA4" s="166"/>
      <c r="AB4" s="166"/>
      <c r="AC4" s="166"/>
      <c r="AD4" s="166"/>
      <c r="AE4" s="167"/>
      <c r="AF4" s="165" t="str">
        <f>"Week "&amp;(AF6-($C$4-WEEKDAY($C$4,1)+2))/7+1</f>
        <v>Week 4</v>
      </c>
      <c r="AG4" s="166"/>
      <c r="AH4" s="166"/>
      <c r="AI4" s="166"/>
      <c r="AJ4" s="166"/>
      <c r="AK4" s="166"/>
      <c r="AL4" s="167"/>
      <c r="AM4" s="165" t="str">
        <f>"Week "&amp;(AM6-($C$4-WEEKDAY($C$4,1)+2))/7+1</f>
        <v>Week 5</v>
      </c>
      <c r="AN4" s="166"/>
      <c r="AO4" s="166"/>
      <c r="AP4" s="166"/>
      <c r="AQ4" s="166"/>
      <c r="AR4" s="166"/>
      <c r="AS4" s="167"/>
      <c r="AT4" s="165" t="str">
        <f>"Week "&amp;(AT6-($C$4-WEEKDAY($C$4,1)+2))/7+1</f>
        <v>Week 6</v>
      </c>
      <c r="AU4" s="166"/>
      <c r="AV4" s="166"/>
      <c r="AW4" s="166"/>
      <c r="AX4" s="166"/>
      <c r="AY4" s="166"/>
      <c r="AZ4" s="167"/>
      <c r="BA4" s="165" t="str">
        <f>"Week "&amp;(BA6-($C$4-WEEKDAY($C$4,1)+2))/7+1</f>
        <v>Week 7</v>
      </c>
      <c r="BB4" s="166"/>
      <c r="BC4" s="166"/>
      <c r="BD4" s="166"/>
      <c r="BE4" s="166"/>
      <c r="BF4" s="166"/>
      <c r="BG4" s="167"/>
      <c r="BH4" s="165" t="str">
        <f>"Week "&amp;(BH6-($C$4-WEEKDAY($C$4,1)+2))/7+1</f>
        <v>Week 8</v>
      </c>
      <c r="BI4" s="166"/>
      <c r="BJ4" s="166"/>
      <c r="BK4" s="166"/>
      <c r="BL4" s="166"/>
      <c r="BM4" s="166"/>
      <c r="BN4" s="167"/>
    </row>
    <row r="5" spans="1:66" ht="17.25" customHeight="1" x14ac:dyDescent="0.2">
      <c r="A5" s="110"/>
      <c r="B5" s="114" t="s">
        <v>80</v>
      </c>
      <c r="C5" s="164"/>
      <c r="D5" s="164"/>
      <c r="E5" s="164"/>
      <c r="F5" s="113"/>
      <c r="G5" s="113"/>
      <c r="H5" s="113"/>
      <c r="I5" s="113"/>
      <c r="J5" s="50"/>
      <c r="K5" s="169">
        <f>K6</f>
        <v>43129</v>
      </c>
      <c r="L5" s="170"/>
      <c r="M5" s="170"/>
      <c r="N5" s="170"/>
      <c r="O5" s="170"/>
      <c r="P5" s="170"/>
      <c r="Q5" s="171"/>
      <c r="R5" s="169">
        <f>R6</f>
        <v>43136</v>
      </c>
      <c r="S5" s="170"/>
      <c r="T5" s="170"/>
      <c r="U5" s="170"/>
      <c r="V5" s="170"/>
      <c r="W5" s="170"/>
      <c r="X5" s="171"/>
      <c r="Y5" s="169">
        <f>Y6</f>
        <v>43143</v>
      </c>
      <c r="Z5" s="170"/>
      <c r="AA5" s="170"/>
      <c r="AB5" s="170"/>
      <c r="AC5" s="170"/>
      <c r="AD5" s="170"/>
      <c r="AE5" s="171"/>
      <c r="AF5" s="169">
        <f>AF6</f>
        <v>43150</v>
      </c>
      <c r="AG5" s="170"/>
      <c r="AH5" s="170"/>
      <c r="AI5" s="170"/>
      <c r="AJ5" s="170"/>
      <c r="AK5" s="170"/>
      <c r="AL5" s="171"/>
      <c r="AM5" s="169">
        <f>AM6</f>
        <v>43157</v>
      </c>
      <c r="AN5" s="170"/>
      <c r="AO5" s="170"/>
      <c r="AP5" s="170"/>
      <c r="AQ5" s="170"/>
      <c r="AR5" s="170"/>
      <c r="AS5" s="171"/>
      <c r="AT5" s="169">
        <f>AT6</f>
        <v>43164</v>
      </c>
      <c r="AU5" s="170"/>
      <c r="AV5" s="170"/>
      <c r="AW5" s="170"/>
      <c r="AX5" s="170"/>
      <c r="AY5" s="170"/>
      <c r="AZ5" s="171"/>
      <c r="BA5" s="169">
        <f>BA6</f>
        <v>43171</v>
      </c>
      <c r="BB5" s="170"/>
      <c r="BC5" s="170"/>
      <c r="BD5" s="170"/>
      <c r="BE5" s="170"/>
      <c r="BF5" s="170"/>
      <c r="BG5" s="171"/>
      <c r="BH5" s="169">
        <f>BH6</f>
        <v>43178</v>
      </c>
      <c r="BI5" s="170"/>
      <c r="BJ5" s="170"/>
      <c r="BK5" s="170"/>
      <c r="BL5" s="170"/>
      <c r="BM5" s="170"/>
      <c r="BN5" s="171"/>
    </row>
    <row r="6" spans="1:66" x14ac:dyDescent="0.2">
      <c r="A6" s="49"/>
      <c r="B6" s="50"/>
      <c r="C6" s="50"/>
      <c r="D6" s="51"/>
      <c r="E6" s="50"/>
      <c r="F6" s="50"/>
      <c r="G6" s="50"/>
      <c r="H6" s="50"/>
      <c r="I6" s="50"/>
      <c r="J6" s="50"/>
      <c r="K6" s="92">
        <f>C4-WEEKDAY(C4,1)+2+7*(H4-1)</f>
        <v>43129</v>
      </c>
      <c r="L6" s="83">
        <f t="shared" ref="L6:AQ6" si="0">K6+1</f>
        <v>43130</v>
      </c>
      <c r="M6" s="83">
        <f t="shared" si="0"/>
        <v>43131</v>
      </c>
      <c r="N6" s="83">
        <f t="shared" si="0"/>
        <v>43132</v>
      </c>
      <c r="O6" s="83">
        <f t="shared" si="0"/>
        <v>43133</v>
      </c>
      <c r="P6" s="83">
        <f t="shared" si="0"/>
        <v>43134</v>
      </c>
      <c r="Q6" s="93">
        <f t="shared" si="0"/>
        <v>43135</v>
      </c>
      <c r="R6" s="92">
        <f t="shared" si="0"/>
        <v>43136</v>
      </c>
      <c r="S6" s="83">
        <f t="shared" si="0"/>
        <v>43137</v>
      </c>
      <c r="T6" s="83">
        <f t="shared" si="0"/>
        <v>43138</v>
      </c>
      <c r="U6" s="83">
        <f t="shared" si="0"/>
        <v>43139</v>
      </c>
      <c r="V6" s="83">
        <f t="shared" si="0"/>
        <v>43140</v>
      </c>
      <c r="W6" s="83">
        <f t="shared" si="0"/>
        <v>43141</v>
      </c>
      <c r="X6" s="93">
        <f t="shared" si="0"/>
        <v>43142</v>
      </c>
      <c r="Y6" s="92">
        <f t="shared" si="0"/>
        <v>43143</v>
      </c>
      <c r="Z6" s="83">
        <f t="shared" si="0"/>
        <v>43144</v>
      </c>
      <c r="AA6" s="83">
        <f t="shared" si="0"/>
        <v>43145</v>
      </c>
      <c r="AB6" s="83">
        <f t="shared" si="0"/>
        <v>43146</v>
      </c>
      <c r="AC6" s="83">
        <f t="shared" si="0"/>
        <v>43147</v>
      </c>
      <c r="AD6" s="83">
        <f t="shared" si="0"/>
        <v>43148</v>
      </c>
      <c r="AE6" s="93">
        <f t="shared" si="0"/>
        <v>43149</v>
      </c>
      <c r="AF6" s="92">
        <f t="shared" si="0"/>
        <v>43150</v>
      </c>
      <c r="AG6" s="83">
        <f t="shared" si="0"/>
        <v>43151</v>
      </c>
      <c r="AH6" s="83">
        <f t="shared" si="0"/>
        <v>43152</v>
      </c>
      <c r="AI6" s="83">
        <f t="shared" si="0"/>
        <v>43153</v>
      </c>
      <c r="AJ6" s="83">
        <f t="shared" si="0"/>
        <v>43154</v>
      </c>
      <c r="AK6" s="83">
        <f t="shared" si="0"/>
        <v>43155</v>
      </c>
      <c r="AL6" s="93">
        <f t="shared" si="0"/>
        <v>43156</v>
      </c>
      <c r="AM6" s="92">
        <f t="shared" si="0"/>
        <v>43157</v>
      </c>
      <c r="AN6" s="83">
        <f t="shared" si="0"/>
        <v>43158</v>
      </c>
      <c r="AO6" s="83">
        <f t="shared" si="0"/>
        <v>43159</v>
      </c>
      <c r="AP6" s="83">
        <f t="shared" si="0"/>
        <v>43160</v>
      </c>
      <c r="AQ6" s="83">
        <f t="shared" si="0"/>
        <v>43161</v>
      </c>
      <c r="AR6" s="83">
        <f t="shared" ref="AR6:BN6" si="1">AQ6+1</f>
        <v>43162</v>
      </c>
      <c r="AS6" s="93">
        <f t="shared" si="1"/>
        <v>43163</v>
      </c>
      <c r="AT6" s="92">
        <f t="shared" si="1"/>
        <v>43164</v>
      </c>
      <c r="AU6" s="83">
        <f t="shared" si="1"/>
        <v>43165</v>
      </c>
      <c r="AV6" s="83">
        <f t="shared" si="1"/>
        <v>43166</v>
      </c>
      <c r="AW6" s="83">
        <f t="shared" si="1"/>
        <v>43167</v>
      </c>
      <c r="AX6" s="83">
        <f t="shared" si="1"/>
        <v>43168</v>
      </c>
      <c r="AY6" s="83">
        <f t="shared" si="1"/>
        <v>43169</v>
      </c>
      <c r="AZ6" s="93">
        <f t="shared" si="1"/>
        <v>43170</v>
      </c>
      <c r="BA6" s="92">
        <f t="shared" si="1"/>
        <v>43171</v>
      </c>
      <c r="BB6" s="83">
        <f t="shared" si="1"/>
        <v>43172</v>
      </c>
      <c r="BC6" s="83">
        <f t="shared" si="1"/>
        <v>43173</v>
      </c>
      <c r="BD6" s="83">
        <f t="shared" si="1"/>
        <v>43174</v>
      </c>
      <c r="BE6" s="83">
        <f t="shared" si="1"/>
        <v>43175</v>
      </c>
      <c r="BF6" s="83">
        <f t="shared" si="1"/>
        <v>43176</v>
      </c>
      <c r="BG6" s="93">
        <f t="shared" si="1"/>
        <v>43177</v>
      </c>
      <c r="BH6" s="92">
        <f t="shared" si="1"/>
        <v>43178</v>
      </c>
      <c r="BI6" s="83">
        <f t="shared" si="1"/>
        <v>43179</v>
      </c>
      <c r="BJ6" s="83">
        <f t="shared" si="1"/>
        <v>43180</v>
      </c>
      <c r="BK6" s="83">
        <f t="shared" si="1"/>
        <v>43181</v>
      </c>
      <c r="BL6" s="83">
        <f t="shared" si="1"/>
        <v>43182</v>
      </c>
      <c r="BM6" s="83">
        <f t="shared" si="1"/>
        <v>43183</v>
      </c>
      <c r="BN6" s="93">
        <f t="shared" si="1"/>
        <v>43184</v>
      </c>
    </row>
    <row r="7" spans="1:66" s="124" customFormat="1" ht="24.75" thickBot="1" x14ac:dyDescent="0.25">
      <c r="A7" s="116" t="s">
        <v>1</v>
      </c>
      <c r="B7" s="117" t="s">
        <v>70</v>
      </c>
      <c r="C7" s="118" t="s">
        <v>71</v>
      </c>
      <c r="D7" s="119" t="s">
        <v>77</v>
      </c>
      <c r="E7" s="120" t="s">
        <v>72</v>
      </c>
      <c r="F7" s="120" t="s">
        <v>73</v>
      </c>
      <c r="G7" s="118" t="s">
        <v>74</v>
      </c>
      <c r="H7" s="118" t="s">
        <v>75</v>
      </c>
      <c r="I7" s="118" t="s">
        <v>76</v>
      </c>
      <c r="J7" s="118"/>
      <c r="K7" s="121" t="str">
        <f t="shared" ref="K7:AP7" si="2">CHOOSE(WEEKDAY(K6,1),"S","M","T","W","T","F","S")</f>
        <v>M</v>
      </c>
      <c r="L7" s="122" t="str">
        <f t="shared" si="2"/>
        <v>T</v>
      </c>
      <c r="M7" s="122" t="str">
        <f t="shared" si="2"/>
        <v>W</v>
      </c>
      <c r="N7" s="122" t="str">
        <f t="shared" si="2"/>
        <v>T</v>
      </c>
      <c r="O7" s="122" t="str">
        <f t="shared" si="2"/>
        <v>F</v>
      </c>
      <c r="P7" s="122" t="str">
        <f t="shared" si="2"/>
        <v>S</v>
      </c>
      <c r="Q7" s="123" t="str">
        <f t="shared" si="2"/>
        <v>S</v>
      </c>
      <c r="R7" s="121" t="str">
        <f t="shared" si="2"/>
        <v>M</v>
      </c>
      <c r="S7" s="122" t="str">
        <f t="shared" si="2"/>
        <v>T</v>
      </c>
      <c r="T7" s="122" t="str">
        <f t="shared" si="2"/>
        <v>W</v>
      </c>
      <c r="U7" s="122" t="str">
        <f t="shared" si="2"/>
        <v>T</v>
      </c>
      <c r="V7" s="122" t="str">
        <f t="shared" si="2"/>
        <v>F</v>
      </c>
      <c r="W7" s="122" t="str">
        <f t="shared" si="2"/>
        <v>S</v>
      </c>
      <c r="X7" s="123" t="str">
        <f t="shared" si="2"/>
        <v>S</v>
      </c>
      <c r="Y7" s="121" t="str">
        <f t="shared" si="2"/>
        <v>M</v>
      </c>
      <c r="Z7" s="122" t="str">
        <f t="shared" si="2"/>
        <v>T</v>
      </c>
      <c r="AA7" s="122" t="str">
        <f t="shared" si="2"/>
        <v>W</v>
      </c>
      <c r="AB7" s="122" t="str">
        <f t="shared" si="2"/>
        <v>T</v>
      </c>
      <c r="AC7" s="122" t="str">
        <f t="shared" si="2"/>
        <v>F</v>
      </c>
      <c r="AD7" s="122" t="str">
        <f t="shared" si="2"/>
        <v>S</v>
      </c>
      <c r="AE7" s="123" t="str">
        <f t="shared" si="2"/>
        <v>S</v>
      </c>
      <c r="AF7" s="121" t="str">
        <f t="shared" si="2"/>
        <v>M</v>
      </c>
      <c r="AG7" s="122" t="str">
        <f t="shared" si="2"/>
        <v>T</v>
      </c>
      <c r="AH7" s="122" t="str">
        <f t="shared" si="2"/>
        <v>W</v>
      </c>
      <c r="AI7" s="122" t="str">
        <f t="shared" si="2"/>
        <v>T</v>
      </c>
      <c r="AJ7" s="122" t="str">
        <f t="shared" si="2"/>
        <v>F</v>
      </c>
      <c r="AK7" s="122" t="str">
        <f t="shared" si="2"/>
        <v>S</v>
      </c>
      <c r="AL7" s="123" t="str">
        <f t="shared" si="2"/>
        <v>S</v>
      </c>
      <c r="AM7" s="121" t="str">
        <f t="shared" si="2"/>
        <v>M</v>
      </c>
      <c r="AN7" s="122" t="str">
        <f t="shared" si="2"/>
        <v>T</v>
      </c>
      <c r="AO7" s="122" t="str">
        <f t="shared" si="2"/>
        <v>W</v>
      </c>
      <c r="AP7" s="122" t="str">
        <f t="shared" si="2"/>
        <v>T</v>
      </c>
      <c r="AQ7" s="122" t="str">
        <f t="shared" ref="AQ7:BN7" si="3">CHOOSE(WEEKDAY(AQ6,1),"S","M","T","W","T","F","S")</f>
        <v>F</v>
      </c>
      <c r="AR7" s="122" t="str">
        <f t="shared" si="3"/>
        <v>S</v>
      </c>
      <c r="AS7" s="123" t="str">
        <f t="shared" si="3"/>
        <v>S</v>
      </c>
      <c r="AT7" s="121" t="str">
        <f t="shared" si="3"/>
        <v>M</v>
      </c>
      <c r="AU7" s="122" t="str">
        <f t="shared" si="3"/>
        <v>T</v>
      </c>
      <c r="AV7" s="122" t="str">
        <f t="shared" si="3"/>
        <v>W</v>
      </c>
      <c r="AW7" s="122" t="str">
        <f t="shared" si="3"/>
        <v>T</v>
      </c>
      <c r="AX7" s="122" t="str">
        <f t="shared" si="3"/>
        <v>F</v>
      </c>
      <c r="AY7" s="122" t="str">
        <f t="shared" si="3"/>
        <v>S</v>
      </c>
      <c r="AZ7" s="123" t="str">
        <f t="shared" si="3"/>
        <v>S</v>
      </c>
      <c r="BA7" s="121" t="str">
        <f t="shared" si="3"/>
        <v>M</v>
      </c>
      <c r="BB7" s="122" t="str">
        <f t="shared" si="3"/>
        <v>T</v>
      </c>
      <c r="BC7" s="122" t="str">
        <f t="shared" si="3"/>
        <v>W</v>
      </c>
      <c r="BD7" s="122" t="str">
        <f t="shared" si="3"/>
        <v>T</v>
      </c>
      <c r="BE7" s="122" t="str">
        <f t="shared" si="3"/>
        <v>F</v>
      </c>
      <c r="BF7" s="122" t="str">
        <f t="shared" si="3"/>
        <v>S</v>
      </c>
      <c r="BG7" s="123" t="str">
        <f t="shared" si="3"/>
        <v>S</v>
      </c>
      <c r="BH7" s="121" t="str">
        <f t="shared" si="3"/>
        <v>M</v>
      </c>
      <c r="BI7" s="122" t="str">
        <f t="shared" si="3"/>
        <v>T</v>
      </c>
      <c r="BJ7" s="122" t="str">
        <f t="shared" si="3"/>
        <v>W</v>
      </c>
      <c r="BK7" s="122" t="str">
        <f t="shared" si="3"/>
        <v>T</v>
      </c>
      <c r="BL7" s="122" t="str">
        <f t="shared" si="3"/>
        <v>F</v>
      </c>
      <c r="BM7" s="122" t="str">
        <f t="shared" si="3"/>
        <v>S</v>
      </c>
      <c r="BN7" s="123" t="str">
        <f t="shared" si="3"/>
        <v>S</v>
      </c>
    </row>
    <row r="8" spans="1:66" s="55" customFormat="1" ht="18" x14ac:dyDescent="0.2">
      <c r="A8" s="84" t="str">
        <f>IF(ISERROR(VALUE(SUBSTITUTE(prevWBS,".",""))),"1",IF(ISERROR(FIND("`",SUBSTITUTE(prevWBS,".","`",1))),TEXT(VALUE(prevWBS)+1,"#"),TEXT(VALUE(LEFT(prevWBS,FIND("`",SUBSTITUTE(prevWBS,".","`",1))-1))+1,"#")))</f>
        <v>1</v>
      </c>
      <c r="B8" s="85" t="s">
        <v>10</v>
      </c>
      <c r="C8" s="86"/>
      <c r="D8" s="87"/>
      <c r="E8" s="88"/>
      <c r="F8" s="115" t="str">
        <f>IF(ISBLANK(E8)," - ",IF(G8=0,E8,E8+G8-1))</f>
        <v xml:space="preserve"> - </v>
      </c>
      <c r="G8" s="89"/>
      <c r="H8" s="90"/>
      <c r="I8" s="91" t="str">
        <f t="shared" ref="I8:I37" si="4">IF(OR(F8=0,E8=0)," - ",NETWORKDAYS(E8,F8))</f>
        <v xml:space="preserve"> - </v>
      </c>
      <c r="J8" s="94"/>
      <c r="K8" s="106"/>
      <c r="L8" s="106"/>
      <c r="M8" s="106"/>
      <c r="N8" s="106"/>
      <c r="O8" s="106"/>
      <c r="P8" s="106"/>
      <c r="Q8" s="106"/>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6"/>
      <c r="BK8" s="106"/>
      <c r="BL8" s="106"/>
      <c r="BM8" s="106"/>
      <c r="BN8" s="106"/>
    </row>
    <row r="9" spans="1:66" s="61" customFormat="1" ht="18" x14ac:dyDescent="0.2">
      <c r="A9" s="60" t="str">
        <f t="shared" ref="A9:A17"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126" t="s">
        <v>11</v>
      </c>
      <c r="C9" s="61" t="s">
        <v>12</v>
      </c>
      <c r="D9" s="127"/>
      <c r="E9" s="100">
        <v>43129</v>
      </c>
      <c r="F9" s="101">
        <f>IF(ISBLANK(E9)," - ",IF(G9=0,E9,E9+G9-1))</f>
        <v>43133</v>
      </c>
      <c r="G9" s="62">
        <v>5</v>
      </c>
      <c r="H9" s="63">
        <v>0</v>
      </c>
      <c r="I9" s="64">
        <f t="shared" si="4"/>
        <v>5</v>
      </c>
      <c r="J9" s="95"/>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c r="BN9" s="107"/>
    </row>
    <row r="10" spans="1:66" s="61" customFormat="1" ht="18" x14ac:dyDescent="0.2">
      <c r="A10" s="60" t="str">
        <f t="shared" si="5"/>
        <v>1.2</v>
      </c>
      <c r="B10" s="126" t="s">
        <v>11</v>
      </c>
      <c r="D10" s="127"/>
      <c r="E10" s="100">
        <v>43134</v>
      </c>
      <c r="F10" s="101">
        <f t="shared" ref="F10:F35" si="6">IF(ISBLANK(E10)," - ",IF(G10=0,E10,E10+G10-1))</f>
        <v>43138</v>
      </c>
      <c r="G10" s="62">
        <v>5</v>
      </c>
      <c r="H10" s="63">
        <v>0</v>
      </c>
      <c r="I10" s="64">
        <f t="shared" si="4"/>
        <v>3</v>
      </c>
      <c r="J10" s="95"/>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row>
    <row r="11" spans="1:66" s="61" customFormat="1" ht="18" x14ac:dyDescent="0.2">
      <c r="A11" s="60" t="str">
        <f t="shared" si="5"/>
        <v>1.3</v>
      </c>
      <c r="B11" s="126" t="s">
        <v>11</v>
      </c>
      <c r="D11" s="127"/>
      <c r="E11" s="100">
        <v>43139</v>
      </c>
      <c r="F11" s="101">
        <f t="shared" si="6"/>
        <v>43142</v>
      </c>
      <c r="G11" s="62">
        <v>4</v>
      </c>
      <c r="H11" s="63">
        <v>0</v>
      </c>
      <c r="I11" s="64">
        <f t="shared" si="4"/>
        <v>2</v>
      </c>
      <c r="J11" s="95"/>
      <c r="K11" s="107"/>
      <c r="L11" s="107"/>
      <c r="M11" s="108"/>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row>
    <row r="12" spans="1:66" s="61" customFormat="1" ht="18" x14ac:dyDescent="0.2">
      <c r="A12" s="60" t="str">
        <f t="shared" si="5"/>
        <v>1.4</v>
      </c>
      <c r="B12" s="126" t="s">
        <v>11</v>
      </c>
      <c r="D12" s="127"/>
      <c r="E12" s="100">
        <v>43132</v>
      </c>
      <c r="F12" s="101">
        <f t="shared" si="6"/>
        <v>43135</v>
      </c>
      <c r="G12" s="62">
        <v>4</v>
      </c>
      <c r="H12" s="63">
        <v>0</v>
      </c>
      <c r="I12" s="64">
        <f t="shared" si="4"/>
        <v>2</v>
      </c>
      <c r="J12" s="95"/>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row>
    <row r="13" spans="1:66" s="61" customFormat="1" ht="18" x14ac:dyDescent="0.2">
      <c r="A13" s="60"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1.4.1</v>
      </c>
      <c r="B13" s="128" t="s">
        <v>137</v>
      </c>
      <c r="D13" s="127"/>
      <c r="E13" s="100">
        <v>43133</v>
      </c>
      <c r="F13" s="101">
        <f t="shared" si="6"/>
        <v>43134</v>
      </c>
      <c r="G13" s="62">
        <v>2</v>
      </c>
      <c r="H13" s="63">
        <v>0</v>
      </c>
      <c r="I13" s="64">
        <f t="shared" si="4"/>
        <v>1</v>
      </c>
      <c r="J13" s="95"/>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row>
    <row r="14" spans="1:66" s="61" customFormat="1" ht="18" x14ac:dyDescent="0.2">
      <c r="A14" s="60"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1.4.2</v>
      </c>
      <c r="B14" s="128" t="s">
        <v>137</v>
      </c>
      <c r="D14" s="127"/>
      <c r="E14" s="100">
        <v>43135</v>
      </c>
      <c r="F14" s="101">
        <f t="shared" si="6"/>
        <v>43137</v>
      </c>
      <c r="G14" s="62">
        <v>3</v>
      </c>
      <c r="H14" s="63">
        <v>0</v>
      </c>
      <c r="I14" s="64">
        <f t="shared" si="4"/>
        <v>2</v>
      </c>
      <c r="J14" s="95"/>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row>
    <row r="15" spans="1:66" s="61" customFormat="1" ht="18" x14ac:dyDescent="0.2">
      <c r="A15" s="60" t="str">
        <f t="shared" si="5"/>
        <v>1.5</v>
      </c>
      <c r="B15" s="126" t="s">
        <v>11</v>
      </c>
      <c r="D15" s="127"/>
      <c r="E15" s="100">
        <v>43136</v>
      </c>
      <c r="F15" s="101">
        <f t="shared" si="6"/>
        <v>43140</v>
      </c>
      <c r="G15" s="62">
        <v>5</v>
      </c>
      <c r="H15" s="63">
        <v>0</v>
      </c>
      <c r="I15" s="64">
        <f t="shared" si="4"/>
        <v>5</v>
      </c>
      <c r="J15" s="95"/>
      <c r="K15" s="107"/>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row>
    <row r="16" spans="1:66" s="61" customFormat="1" ht="18" x14ac:dyDescent="0.2">
      <c r="A16" s="60" t="str">
        <f t="shared" si="5"/>
        <v>1.6</v>
      </c>
      <c r="B16" s="126" t="s">
        <v>11</v>
      </c>
      <c r="D16" s="127"/>
      <c r="E16" s="100">
        <v>43134</v>
      </c>
      <c r="F16" s="101">
        <f t="shared" si="6"/>
        <v>43140</v>
      </c>
      <c r="G16" s="62">
        <v>7</v>
      </c>
      <c r="H16" s="63">
        <v>0</v>
      </c>
      <c r="I16" s="64">
        <f t="shared" si="4"/>
        <v>5</v>
      </c>
      <c r="J16" s="95"/>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row>
    <row r="17" spans="1:66" s="61" customFormat="1" ht="18" x14ac:dyDescent="0.2">
      <c r="A17" s="60" t="str">
        <f t="shared" si="5"/>
        <v>1.7</v>
      </c>
      <c r="B17" s="126" t="s">
        <v>11</v>
      </c>
      <c r="D17" s="127"/>
      <c r="E17" s="100">
        <v>43141</v>
      </c>
      <c r="F17" s="101">
        <f t="shared" si="6"/>
        <v>43147</v>
      </c>
      <c r="G17" s="62">
        <v>7</v>
      </c>
      <c r="H17" s="63">
        <v>0</v>
      </c>
      <c r="I17" s="64">
        <f t="shared" si="4"/>
        <v>5</v>
      </c>
      <c r="J17" s="95"/>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c r="BN17" s="107"/>
    </row>
    <row r="18" spans="1:66" s="55" customFormat="1" ht="18" x14ac:dyDescent="0.2">
      <c r="A18" s="53" t="str">
        <f>IF(ISERROR(VALUE(SUBSTITUTE(prevWBS,".",""))),"1",IF(ISERROR(FIND("`",SUBSTITUTE(prevWBS,".","`",1))),TEXT(VALUE(prevWBS)+1,"#"),TEXT(VALUE(LEFT(prevWBS,FIND("`",SUBSTITUTE(prevWBS,".","`",1))-1))+1,"#")))</f>
        <v>2</v>
      </c>
      <c r="B18" s="54" t="s">
        <v>10</v>
      </c>
      <c r="D18" s="56"/>
      <c r="E18" s="102"/>
      <c r="F18" s="102" t="str">
        <f t="shared" si="6"/>
        <v xml:space="preserve"> - </v>
      </c>
      <c r="G18" s="57"/>
      <c r="H18" s="58"/>
      <c r="I18" s="59" t="str">
        <f t="shared" si="4"/>
        <v xml:space="preserve"> - </v>
      </c>
      <c r="J18" s="96"/>
      <c r="K18" s="109"/>
      <c r="L18" s="10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row>
    <row r="19" spans="1:66" s="61" customFormat="1" ht="18" x14ac:dyDescent="0.2">
      <c r="A19"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9" s="126" t="s">
        <v>11</v>
      </c>
      <c r="D19" s="127"/>
      <c r="E19" s="100">
        <v>43141</v>
      </c>
      <c r="F19" s="101">
        <f t="shared" si="6"/>
        <v>43144</v>
      </c>
      <c r="G19" s="62">
        <v>4</v>
      </c>
      <c r="H19" s="63">
        <v>0</v>
      </c>
      <c r="I19" s="64">
        <f t="shared" si="4"/>
        <v>2</v>
      </c>
      <c r="J19" s="95"/>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row>
    <row r="20" spans="1:66" s="61" customFormat="1" ht="18" x14ac:dyDescent="0.2">
      <c r="A20"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20" s="126" t="s">
        <v>11</v>
      </c>
      <c r="D20" s="127"/>
      <c r="E20" s="100">
        <v>43145</v>
      </c>
      <c r="F20" s="101">
        <f t="shared" si="6"/>
        <v>43147</v>
      </c>
      <c r="G20" s="62">
        <v>3</v>
      </c>
      <c r="H20" s="63">
        <v>0</v>
      </c>
      <c r="I20" s="64">
        <f t="shared" si="4"/>
        <v>3</v>
      </c>
      <c r="J20" s="95"/>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row>
    <row r="21" spans="1:66" s="61" customFormat="1" ht="18" x14ac:dyDescent="0.2">
      <c r="A21"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21" s="126" t="s">
        <v>11</v>
      </c>
      <c r="D21" s="127"/>
      <c r="E21" s="100">
        <v>43145</v>
      </c>
      <c r="F21" s="101">
        <f t="shared" si="6"/>
        <v>43147</v>
      </c>
      <c r="G21" s="62">
        <v>3</v>
      </c>
      <c r="H21" s="63">
        <v>0</v>
      </c>
      <c r="I21" s="64">
        <f t="shared" si="4"/>
        <v>3</v>
      </c>
      <c r="J21" s="95"/>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row>
    <row r="22" spans="1:66" s="61" customFormat="1" ht="18" x14ac:dyDescent="0.2">
      <c r="A22"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22" s="126" t="s">
        <v>11</v>
      </c>
      <c r="D22" s="127"/>
      <c r="E22" s="100">
        <v>43148</v>
      </c>
      <c r="F22" s="101">
        <f t="shared" si="6"/>
        <v>43153</v>
      </c>
      <c r="G22" s="62">
        <v>6</v>
      </c>
      <c r="H22" s="63">
        <v>0</v>
      </c>
      <c r="I22" s="64">
        <f t="shared" si="4"/>
        <v>4</v>
      </c>
      <c r="J22" s="95"/>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row>
    <row r="23" spans="1:66" s="61" customFormat="1" ht="18" x14ac:dyDescent="0.2">
      <c r="A23"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23" s="126" t="s">
        <v>11</v>
      </c>
      <c r="D23" s="127"/>
      <c r="E23" s="100">
        <v>43154</v>
      </c>
      <c r="F23" s="101">
        <f t="shared" si="6"/>
        <v>43156</v>
      </c>
      <c r="G23" s="62">
        <v>3</v>
      </c>
      <c r="H23" s="63">
        <v>0</v>
      </c>
      <c r="I23" s="64">
        <f t="shared" si="4"/>
        <v>1</v>
      </c>
      <c r="J23" s="95"/>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c r="BN23" s="107"/>
    </row>
    <row r="24" spans="1:66" s="55" customFormat="1" ht="18" x14ac:dyDescent="0.2">
      <c r="A24" s="53" t="str">
        <f>IF(ISERROR(VALUE(SUBSTITUTE(prevWBS,".",""))),"1",IF(ISERROR(FIND("`",SUBSTITUTE(prevWBS,".","`",1))),TEXT(VALUE(prevWBS)+1,"#"),TEXT(VALUE(LEFT(prevWBS,FIND("`",SUBSTITUTE(prevWBS,".","`",1))-1))+1,"#")))</f>
        <v>3</v>
      </c>
      <c r="B24" s="54" t="s">
        <v>10</v>
      </c>
      <c r="D24" s="56"/>
      <c r="E24" s="102"/>
      <c r="F24" s="102" t="str">
        <f t="shared" si="6"/>
        <v xml:space="preserve"> - </v>
      </c>
      <c r="G24" s="57"/>
      <c r="H24" s="58"/>
      <c r="I24" s="59" t="str">
        <f t="shared" si="4"/>
        <v xml:space="preserve"> - </v>
      </c>
      <c r="J24" s="96"/>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row>
    <row r="25" spans="1:66" s="61" customFormat="1" ht="18" x14ac:dyDescent="0.2">
      <c r="A25"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5" s="126" t="s">
        <v>11</v>
      </c>
      <c r="D25" s="127"/>
      <c r="E25" s="100">
        <v>43141</v>
      </c>
      <c r="F25" s="101">
        <f t="shared" si="6"/>
        <v>43144</v>
      </c>
      <c r="G25" s="62">
        <v>4</v>
      </c>
      <c r="H25" s="63">
        <v>0</v>
      </c>
      <c r="I25" s="64">
        <f t="shared" si="4"/>
        <v>2</v>
      </c>
      <c r="J25" s="95"/>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row>
    <row r="26" spans="1:66" s="61" customFormat="1" ht="18" x14ac:dyDescent="0.2">
      <c r="A26"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6" s="126" t="s">
        <v>11</v>
      </c>
      <c r="D26" s="127"/>
      <c r="E26" s="100">
        <v>43145</v>
      </c>
      <c r="F26" s="101">
        <f t="shared" si="6"/>
        <v>43147</v>
      </c>
      <c r="G26" s="62">
        <v>3</v>
      </c>
      <c r="H26" s="63">
        <v>0</v>
      </c>
      <c r="I26" s="64">
        <f t="shared" si="4"/>
        <v>3</v>
      </c>
      <c r="J26" s="95"/>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row>
    <row r="27" spans="1:66" s="61" customFormat="1" ht="18" x14ac:dyDescent="0.2">
      <c r="A27"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7" s="126" t="s">
        <v>11</v>
      </c>
      <c r="D27" s="127"/>
      <c r="E27" s="100">
        <v>43145</v>
      </c>
      <c r="F27" s="101">
        <f t="shared" si="6"/>
        <v>43147</v>
      </c>
      <c r="G27" s="62">
        <v>3</v>
      </c>
      <c r="H27" s="63">
        <v>0</v>
      </c>
      <c r="I27" s="64">
        <f t="shared" si="4"/>
        <v>3</v>
      </c>
      <c r="J27" s="95"/>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row>
    <row r="28" spans="1:66" s="61" customFormat="1" ht="18" x14ac:dyDescent="0.2">
      <c r="A28"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8" s="126" t="s">
        <v>11</v>
      </c>
      <c r="D28" s="127"/>
      <c r="E28" s="100">
        <v>43148</v>
      </c>
      <c r="F28" s="101">
        <f t="shared" si="6"/>
        <v>43153</v>
      </c>
      <c r="G28" s="62">
        <v>6</v>
      </c>
      <c r="H28" s="63">
        <v>0</v>
      </c>
      <c r="I28" s="64">
        <f t="shared" si="4"/>
        <v>4</v>
      </c>
      <c r="J28" s="95"/>
      <c r="K28" s="107"/>
      <c r="L28" s="107"/>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row>
    <row r="29" spans="1:66" s="61" customFormat="1" ht="18" x14ac:dyDescent="0.2">
      <c r="A29"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3.5</v>
      </c>
      <c r="B29" s="126" t="s">
        <v>11</v>
      </c>
      <c r="D29" s="127"/>
      <c r="E29" s="100">
        <v>43154</v>
      </c>
      <c r="F29" s="101">
        <f t="shared" si="6"/>
        <v>43156</v>
      </c>
      <c r="G29" s="62">
        <v>3</v>
      </c>
      <c r="H29" s="63">
        <v>0</v>
      </c>
      <c r="I29" s="64">
        <f t="shared" si="4"/>
        <v>1</v>
      </c>
      <c r="J29" s="95"/>
      <c r="K29" s="107"/>
      <c r="L29" s="107"/>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row>
    <row r="30" spans="1:66" s="55" customFormat="1" ht="18" x14ac:dyDescent="0.2">
      <c r="A30" s="53" t="str">
        <f>IF(ISERROR(VALUE(SUBSTITUTE(prevWBS,".",""))),"1",IF(ISERROR(FIND("`",SUBSTITUTE(prevWBS,".","`",1))),TEXT(VALUE(prevWBS)+1,"#"),TEXT(VALUE(LEFT(prevWBS,FIND("`",SUBSTITUTE(prevWBS,".","`",1))-1))+1,"#")))</f>
        <v>4</v>
      </c>
      <c r="B30" s="54" t="s">
        <v>10</v>
      </c>
      <c r="D30" s="56"/>
      <c r="E30" s="102"/>
      <c r="F30" s="102" t="str">
        <f t="shared" si="6"/>
        <v xml:space="preserve"> - </v>
      </c>
      <c r="G30" s="57"/>
      <c r="H30" s="58"/>
      <c r="I30" s="59" t="str">
        <f t="shared" si="4"/>
        <v xml:space="preserve"> - </v>
      </c>
      <c r="J30" s="96"/>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row>
    <row r="31" spans="1:66" s="61" customFormat="1" ht="18" x14ac:dyDescent="0.2">
      <c r="A31"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31" s="126" t="s">
        <v>11</v>
      </c>
      <c r="D31" s="127"/>
      <c r="E31" s="100">
        <v>43129</v>
      </c>
      <c r="F31" s="101">
        <f t="shared" si="6"/>
        <v>43129</v>
      </c>
      <c r="G31" s="62">
        <v>1</v>
      </c>
      <c r="H31" s="63">
        <v>0</v>
      </c>
      <c r="I31" s="64">
        <f t="shared" si="4"/>
        <v>1</v>
      </c>
      <c r="J31" s="95"/>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row>
    <row r="32" spans="1:66" s="61" customFormat="1" ht="18" x14ac:dyDescent="0.2">
      <c r="A32"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32" s="126" t="s">
        <v>11</v>
      </c>
      <c r="D32" s="127"/>
      <c r="E32" s="100">
        <v>43130</v>
      </c>
      <c r="F32" s="101">
        <f t="shared" si="6"/>
        <v>43130</v>
      </c>
      <c r="G32" s="62">
        <v>1</v>
      </c>
      <c r="H32" s="63">
        <v>0</v>
      </c>
      <c r="I32" s="64">
        <f t="shared" si="4"/>
        <v>1</v>
      </c>
      <c r="J32" s="95"/>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row>
    <row r="33" spans="1:66" s="61" customFormat="1" ht="18" x14ac:dyDescent="0.2">
      <c r="A33"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33" s="126" t="s">
        <v>11</v>
      </c>
      <c r="D33" s="127"/>
      <c r="E33" s="100">
        <v>43131</v>
      </c>
      <c r="F33" s="101">
        <f t="shared" si="6"/>
        <v>43131</v>
      </c>
      <c r="G33" s="62">
        <v>1</v>
      </c>
      <c r="H33" s="63">
        <v>0</v>
      </c>
      <c r="I33" s="64">
        <f t="shared" si="4"/>
        <v>1</v>
      </c>
      <c r="J33" s="95"/>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row>
    <row r="34" spans="1:66" s="61" customFormat="1" ht="18" x14ac:dyDescent="0.2">
      <c r="A34"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34" s="126" t="s">
        <v>11</v>
      </c>
      <c r="D34" s="127"/>
      <c r="E34" s="100">
        <v>43132</v>
      </c>
      <c r="F34" s="101">
        <f t="shared" si="6"/>
        <v>43132</v>
      </c>
      <c r="G34" s="62">
        <v>1</v>
      </c>
      <c r="H34" s="63">
        <v>0</v>
      </c>
      <c r="I34" s="64">
        <f t="shared" si="4"/>
        <v>1</v>
      </c>
      <c r="J34" s="95"/>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row>
    <row r="35" spans="1:66" s="61" customFormat="1" ht="18" x14ac:dyDescent="0.2">
      <c r="A35"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35" s="126" t="s">
        <v>11</v>
      </c>
      <c r="D35" s="127"/>
      <c r="E35" s="100">
        <v>43133</v>
      </c>
      <c r="F35" s="101">
        <f t="shared" si="6"/>
        <v>43133</v>
      </c>
      <c r="G35" s="62">
        <v>1</v>
      </c>
      <c r="H35" s="63">
        <v>0</v>
      </c>
      <c r="I35" s="64">
        <f t="shared" si="4"/>
        <v>1</v>
      </c>
      <c r="J35" s="95"/>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row>
    <row r="36" spans="1:66" s="70" customFormat="1" ht="18" x14ac:dyDescent="0.2">
      <c r="A36" s="60"/>
      <c r="B36" s="65"/>
      <c r="C36" s="65"/>
      <c r="D36" s="66"/>
      <c r="E36" s="103"/>
      <c r="F36" s="103"/>
      <c r="G36" s="67"/>
      <c r="H36" s="68"/>
      <c r="I36" s="69" t="str">
        <f t="shared" si="4"/>
        <v xml:space="preserve"> - </v>
      </c>
      <c r="J36" s="9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row>
    <row r="37" spans="1:66" s="70" customFormat="1" ht="18" x14ac:dyDescent="0.2">
      <c r="A37" s="60"/>
      <c r="B37" s="65"/>
      <c r="C37" s="65"/>
      <c r="D37" s="66"/>
      <c r="E37" s="103"/>
      <c r="F37" s="103"/>
      <c r="G37" s="67"/>
      <c r="H37" s="68"/>
      <c r="I37" s="69" t="str">
        <f t="shared" si="4"/>
        <v xml:space="preserve"> - </v>
      </c>
      <c r="J37" s="9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row>
    <row r="38" spans="1:66" s="75" customFormat="1" ht="18" x14ac:dyDescent="0.2">
      <c r="A38" s="71" t="s">
        <v>3</v>
      </c>
      <c r="B38" s="72"/>
      <c r="C38" s="73"/>
      <c r="D38" s="73"/>
      <c r="E38" s="104"/>
      <c r="F38" s="104"/>
      <c r="G38" s="74"/>
      <c r="H38" s="74"/>
      <c r="I38" s="74"/>
      <c r="J38" s="98"/>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row>
    <row r="39" spans="1:66" s="70" customFormat="1" ht="18" x14ac:dyDescent="0.2">
      <c r="A39" s="76" t="s">
        <v>42</v>
      </c>
      <c r="B39" s="77"/>
      <c r="C39" s="77"/>
      <c r="D39" s="77"/>
      <c r="E39" s="105"/>
      <c r="F39" s="105"/>
      <c r="G39" s="77"/>
      <c r="H39" s="77"/>
      <c r="I39" s="77"/>
      <c r="J39" s="98"/>
      <c r="K39" s="107"/>
      <c r="L39" s="107"/>
      <c r="M39" s="107"/>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row>
    <row r="40" spans="1:66" s="70" customFormat="1" ht="18" x14ac:dyDescent="0.2">
      <c r="A40" s="130" t="str">
        <f>IF(ISERROR(VALUE(SUBSTITUTE(prevWBS,".",""))),"1",IF(ISERROR(FIND("`",SUBSTITUTE(prevWBS,".","`",1))),TEXT(VALUE(prevWBS)+1,"#"),TEXT(VALUE(LEFT(prevWBS,FIND("`",SUBSTITUTE(prevWBS,".","`",1))-1))+1,"#")))</f>
        <v>1</v>
      </c>
      <c r="B40" s="131" t="s">
        <v>81</v>
      </c>
      <c r="C40" s="78"/>
      <c r="D40" s="79"/>
      <c r="E40" s="100"/>
      <c r="F40" s="101" t="str">
        <f t="shared" ref="F40:F43" si="7">IF(ISBLANK(E40)," - ",IF(G40=0,E40,E40+G40-1))</f>
        <v xml:space="preserve"> - </v>
      </c>
      <c r="G40" s="62"/>
      <c r="H40" s="63"/>
      <c r="I40" s="80" t="str">
        <f>IF(OR(F40=0,E40=0)," - ",NETWORKDAYS(E40,F40))</f>
        <v xml:space="preserve"> - </v>
      </c>
      <c r="J40" s="99"/>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row>
    <row r="41" spans="1:66" s="70" customFormat="1" ht="18" x14ac:dyDescent="0.2">
      <c r="A41" s="6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41" s="81" t="s">
        <v>67</v>
      </c>
      <c r="C41" s="81"/>
      <c r="D41" s="79"/>
      <c r="E41" s="100"/>
      <c r="F41" s="101" t="str">
        <f t="shared" si="7"/>
        <v xml:space="preserve"> - </v>
      </c>
      <c r="G41" s="62"/>
      <c r="H41" s="63"/>
      <c r="I41" s="80" t="str">
        <f t="shared" ref="I41:I43" si="8">IF(OR(F41=0,E41=0)," - ",NETWORKDAYS(E41,F41))</f>
        <v xml:space="preserve"> - </v>
      </c>
      <c r="J41" s="99"/>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row>
    <row r="42" spans="1:66" s="70" customFormat="1" ht="18" x14ac:dyDescent="0.2">
      <c r="A42" s="60"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1.1.1</v>
      </c>
      <c r="B42" s="82" t="s">
        <v>68</v>
      </c>
      <c r="C42" s="81"/>
      <c r="D42" s="79"/>
      <c r="E42" s="100"/>
      <c r="F42" s="101" t="str">
        <f t="shared" si="7"/>
        <v xml:space="preserve"> - </v>
      </c>
      <c r="G42" s="62"/>
      <c r="H42" s="63"/>
      <c r="I42" s="80" t="str">
        <f t="shared" si="8"/>
        <v xml:space="preserve"> - </v>
      </c>
      <c r="J42" s="99"/>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row>
    <row r="43" spans="1:66" s="70" customFormat="1" ht="18" x14ac:dyDescent="0.2">
      <c r="A43" s="60"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1.1.1.1</v>
      </c>
      <c r="B43" s="82" t="s">
        <v>69</v>
      </c>
      <c r="C43" s="81"/>
      <c r="D43" s="79"/>
      <c r="E43" s="100"/>
      <c r="F43" s="101" t="str">
        <f t="shared" si="7"/>
        <v xml:space="preserve"> - </v>
      </c>
      <c r="G43" s="62"/>
      <c r="H43" s="63"/>
      <c r="I43" s="80" t="str">
        <f t="shared" si="8"/>
        <v xml:space="preserve"> - </v>
      </c>
      <c r="J43" s="99"/>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row>
    <row r="44" spans="1:66" s="33" customFormat="1" x14ac:dyDescent="0.2">
      <c r="A44" s="30"/>
      <c r="B44" s="31"/>
      <c r="C44" s="31"/>
      <c r="D44" s="32"/>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row>
  </sheetData>
  <sheetProtection formatCells="0" formatColumns="0" formatRows="0" insertRows="0" deleteRows="0"/>
  <mergeCells count="19">
    <mergeCell ref="AF4:AL4"/>
    <mergeCell ref="AF5:AL5"/>
    <mergeCell ref="BH4:BN4"/>
    <mergeCell ref="BH5:BN5"/>
    <mergeCell ref="AM5:AS5"/>
    <mergeCell ref="AT4:AZ4"/>
    <mergeCell ref="AT5:AZ5"/>
    <mergeCell ref="AM4:AS4"/>
    <mergeCell ref="BA4:BG4"/>
    <mergeCell ref="BA5:BG5"/>
    <mergeCell ref="K1:AE1"/>
    <mergeCell ref="C5:E5"/>
    <mergeCell ref="R4:X4"/>
    <mergeCell ref="K4:Q4"/>
    <mergeCell ref="C4:E4"/>
    <mergeCell ref="R5:X5"/>
    <mergeCell ref="K5:Q5"/>
    <mergeCell ref="Y4:AE4"/>
    <mergeCell ref="Y5:AE5"/>
  </mergeCells>
  <phoneticPr fontId="3" type="noConversion"/>
  <conditionalFormatting sqref="H8:H43">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3" priority="45">
      <formula>K$6=TODAY()</formula>
    </cfRule>
  </conditionalFormatting>
  <conditionalFormatting sqref="K8:BN43">
    <cfRule type="expression" dxfId="2" priority="48">
      <formula>AND($E8&lt;=K$6,ROUNDDOWN(($F8-$E8+1)*$H8,0)+$E8-1&gt;=K$6)</formula>
    </cfRule>
    <cfRule type="expression" dxfId="1" priority="49">
      <formula>AND(NOT(ISBLANK($E8)),$E8&lt;=K$6,$F8&gt;=K$6)</formula>
    </cfRule>
  </conditionalFormatting>
  <conditionalFormatting sqref="K6:BN43">
    <cfRule type="expression" dxfId="0" priority="8">
      <formula>K$6=TODAY()</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hyperlinks>
    <hyperlink ref="K1:AE1" r:id="rId1" display="Gantt Chart Template © 2006-2018 by Vertex42.com."/>
  </hyperlinks>
  <pageMargins left="0.25" right="0.25" top="0.5" bottom="0.5" header="0.5" footer="0.25"/>
  <pageSetup scale="63" fitToHeight="0" orientation="landscape" r:id="rId2"/>
  <headerFooter alignWithMargins="0"/>
  <ignoredErrors>
    <ignoredError sqref="A36:B37 B31 B32:B34 B25:B28 B19:B22 G13 G12 G16 G14 A39:B39 B38 E18 E24 E30 E36:H39 G15 G11 G10 G18:H18 G24:H24 G30:H34 H22 G40 G41:G42 G43 H20 H21 H25:H28" unlockedFormula="1"/>
    <ignoredError sqref="A30 A24 A18" 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8238" r:id="rId5"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H8:H43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6"/>
  <sheetViews>
    <sheetView showGridLines="0" topLeftCell="A13" workbookViewId="0">
      <selection activeCell="A16" sqref="A16:C48"/>
    </sheetView>
  </sheetViews>
  <sheetFormatPr defaultRowHeight="12.75" x14ac:dyDescent="0.2"/>
  <cols>
    <col min="1" max="1" width="5.5703125" style="16" customWidth="1"/>
    <col min="2" max="2" width="37.7109375" style="16" customWidth="1"/>
    <col min="3" max="3" width="55.140625" style="16" customWidth="1"/>
    <col min="4" max="7" width="8.85546875" style="16"/>
  </cols>
  <sheetData>
    <row r="1" spans="1:3" ht="30" customHeight="1" x14ac:dyDescent="0.2">
      <c r="A1" s="35" t="s">
        <v>26</v>
      </c>
    </row>
    <row r="4" spans="1:3" x14ac:dyDescent="0.2">
      <c r="C4" s="23" t="s">
        <v>34</v>
      </c>
    </row>
    <row r="5" spans="1:3" x14ac:dyDescent="0.2">
      <c r="C5" s="20" t="s">
        <v>35</v>
      </c>
    </row>
    <row r="6" spans="1:3" x14ac:dyDescent="0.2">
      <c r="C6" s="20"/>
    </row>
    <row r="7" spans="1:3" ht="18" x14ac:dyDescent="0.25">
      <c r="C7" s="24" t="s">
        <v>55</v>
      </c>
    </row>
    <row r="8" spans="1:3" x14ac:dyDescent="0.2">
      <c r="C8" s="25" t="s">
        <v>53</v>
      </c>
    </row>
    <row r="10" spans="1:3" x14ac:dyDescent="0.2">
      <c r="C10" s="20" t="s">
        <v>52</v>
      </c>
    </row>
    <row r="11" spans="1:3" x14ac:dyDescent="0.2">
      <c r="C11" s="20" t="s">
        <v>51</v>
      </c>
    </row>
    <row r="13" spans="1:3" ht="18" x14ac:dyDescent="0.25">
      <c r="C13" s="24" t="s">
        <v>50</v>
      </c>
    </row>
    <row r="16" spans="1:3" ht="15.75" x14ac:dyDescent="0.25">
      <c r="A16" s="27" t="s">
        <v>28</v>
      </c>
    </row>
    <row r="17" spans="2:2" s="16" customFormat="1" x14ac:dyDescent="0.2"/>
    <row r="18" spans="2:2" ht="15" x14ac:dyDescent="0.25">
      <c r="B18" s="26" t="s">
        <v>39</v>
      </c>
    </row>
    <row r="19" spans="2:2" x14ac:dyDescent="0.2">
      <c r="B19" s="20" t="s">
        <v>45</v>
      </c>
    </row>
    <row r="20" spans="2:2" x14ac:dyDescent="0.2">
      <c r="B20" s="20" t="s">
        <v>46</v>
      </c>
    </row>
    <row r="22" spans="2:2" s="16" customFormat="1" ht="15" x14ac:dyDescent="0.25">
      <c r="B22" s="26" t="s">
        <v>47</v>
      </c>
    </row>
    <row r="23" spans="2:2" s="16" customFormat="1" x14ac:dyDescent="0.2">
      <c r="B23" s="20" t="s">
        <v>48</v>
      </c>
    </row>
    <row r="24" spans="2:2" s="16" customFormat="1" x14ac:dyDescent="0.2">
      <c r="B24" s="20" t="s">
        <v>49</v>
      </c>
    </row>
    <row r="26" spans="2:2" s="16" customFormat="1" ht="15" x14ac:dyDescent="0.25">
      <c r="B26" s="26" t="s">
        <v>36</v>
      </c>
    </row>
    <row r="27" spans="2:2" s="16" customFormat="1" x14ac:dyDescent="0.2">
      <c r="B27" s="20" t="s">
        <v>40</v>
      </c>
    </row>
    <row r="28" spans="2:2" s="16" customFormat="1" x14ac:dyDescent="0.2">
      <c r="B28" s="20" t="s">
        <v>41</v>
      </c>
    </row>
    <row r="29" spans="2:2" x14ac:dyDescent="0.2">
      <c r="B29" s="20" t="s">
        <v>43</v>
      </c>
    </row>
    <row r="30" spans="2:2" x14ac:dyDescent="0.2">
      <c r="B30" s="16" t="s">
        <v>29</v>
      </c>
    </row>
    <row r="31" spans="2:2" x14ac:dyDescent="0.2">
      <c r="B31" s="16" t="s">
        <v>30</v>
      </c>
    </row>
    <row r="32" spans="2:2" x14ac:dyDescent="0.2">
      <c r="B32" s="16" t="s">
        <v>31</v>
      </c>
    </row>
    <row r="34" spans="2:2" ht="15" x14ac:dyDescent="0.25">
      <c r="B34" s="26" t="s">
        <v>32</v>
      </c>
    </row>
    <row r="35" spans="2:2" x14ac:dyDescent="0.2">
      <c r="B35" s="20" t="s">
        <v>132</v>
      </c>
    </row>
    <row r="36" spans="2:2" x14ac:dyDescent="0.2">
      <c r="B36" s="20" t="s">
        <v>133</v>
      </c>
    </row>
    <row r="37" spans="2:2" x14ac:dyDescent="0.2">
      <c r="B37" s="20" t="s">
        <v>134</v>
      </c>
    </row>
    <row r="39" spans="2:2" ht="15" x14ac:dyDescent="0.25">
      <c r="B39" s="26" t="s">
        <v>33</v>
      </c>
    </row>
    <row r="40" spans="2:2" x14ac:dyDescent="0.2">
      <c r="B40" s="20" t="s">
        <v>44</v>
      </c>
    </row>
    <row r="42" spans="2:2" s="16" customFormat="1" ht="15" x14ac:dyDescent="0.25">
      <c r="B42" s="26" t="s">
        <v>37</v>
      </c>
    </row>
    <row r="43" spans="2:2" s="16" customFormat="1" x14ac:dyDescent="0.2">
      <c r="B43" s="20" t="s">
        <v>135</v>
      </c>
    </row>
    <row r="44" spans="2:2" s="16" customFormat="1" x14ac:dyDescent="0.2">
      <c r="B44" s="20" t="s">
        <v>38</v>
      </c>
    </row>
    <row r="45" spans="2:2" s="16" customFormat="1" x14ac:dyDescent="0.2"/>
    <row r="46" spans="2:2" ht="18" x14ac:dyDescent="0.25">
      <c r="B46" s="24" t="s">
        <v>27</v>
      </c>
    </row>
  </sheetData>
  <hyperlinks>
    <hyperlink ref="C7" r:id="rId1"/>
    <hyperlink ref="B46" r:id="rId2" tooltip="Go to Vertex42.com" display="https://www.vertex42.com/Links/go.php?urlid=GanttChartPro"/>
    <hyperlink ref="C13" r:id="rId3" display="https://www.vertex42.com/blog/business/pm/new-gantt-chart-for-excel-online.html"/>
  </hyperlinks>
  <pageMargins left="0.7" right="0.7" top="0.75" bottom="0.75" header="0.3" footer="0.3"/>
  <pageSetup scale="93" orientation="portrait" r:id="rId4"/>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94"/>
  <sheetViews>
    <sheetView showGridLines="0" topLeftCell="A73" workbookViewId="0">
      <selection sqref="A1:D1048576"/>
    </sheetView>
  </sheetViews>
  <sheetFormatPr defaultColWidth="8.85546875" defaultRowHeight="12.75" x14ac:dyDescent="0.2"/>
  <cols>
    <col min="1" max="1" width="5.5703125" style="7" customWidth="1"/>
    <col min="2" max="2" width="90.42578125" style="7" customWidth="1"/>
    <col min="3" max="3" width="16.42578125" style="7" bestFit="1" customWidth="1"/>
    <col min="4" max="16384" width="8.85546875" style="7"/>
  </cols>
  <sheetData>
    <row r="1" spans="1:3" ht="30" customHeight="1" x14ac:dyDescent="0.2">
      <c r="A1" s="40" t="s">
        <v>127</v>
      </c>
      <c r="B1" s="41"/>
      <c r="C1" s="42"/>
    </row>
    <row r="2" spans="1:3" ht="14.25" x14ac:dyDescent="0.2">
      <c r="A2" s="138" t="s">
        <v>53</v>
      </c>
      <c r="B2" s="9"/>
      <c r="C2" s="8"/>
    </row>
    <row r="3" spans="1:3" s="20" customFormat="1" x14ac:dyDescent="0.2">
      <c r="A3" s="8"/>
      <c r="B3" s="9"/>
      <c r="C3" s="8"/>
    </row>
    <row r="4" spans="1:3" s="8" customFormat="1" ht="18" x14ac:dyDescent="0.25">
      <c r="A4" s="133" t="s">
        <v>94</v>
      </c>
      <c r="B4" s="39"/>
    </row>
    <row r="5" spans="1:3" s="8" customFormat="1" ht="57" x14ac:dyDescent="0.2">
      <c r="B5" s="139" t="s">
        <v>83</v>
      </c>
    </row>
    <row r="7" spans="1:3" ht="28.5" x14ac:dyDescent="0.2">
      <c r="B7" s="139" t="s">
        <v>95</v>
      </c>
    </row>
    <row r="9" spans="1:3" ht="14.25" x14ac:dyDescent="0.2">
      <c r="B9" s="138" t="s">
        <v>65</v>
      </c>
    </row>
    <row r="11" spans="1:3" ht="28.5" x14ac:dyDescent="0.2">
      <c r="B11" s="137" t="s">
        <v>66</v>
      </c>
    </row>
    <row r="12" spans="1:3" s="20" customFormat="1" x14ac:dyDescent="0.2"/>
    <row r="13" spans="1:3" ht="18" x14ac:dyDescent="0.25">
      <c r="A13" s="172" t="s">
        <v>6</v>
      </c>
      <c r="B13" s="172"/>
    </row>
    <row r="14" spans="1:3" s="20" customFormat="1" x14ac:dyDescent="0.2"/>
    <row r="15" spans="1:3" s="134" customFormat="1" ht="18" x14ac:dyDescent="0.2">
      <c r="A15" s="142"/>
      <c r="B15" s="140" t="s">
        <v>86</v>
      </c>
    </row>
    <row r="16" spans="1:3" s="134" customFormat="1" ht="18" x14ac:dyDescent="0.2">
      <c r="A16" s="142"/>
      <c r="B16" s="141" t="s">
        <v>84</v>
      </c>
      <c r="C16" s="136" t="s">
        <v>5</v>
      </c>
    </row>
    <row r="17" spans="1:3" ht="18" x14ac:dyDescent="0.25">
      <c r="A17" s="143"/>
      <c r="B17" s="141" t="s">
        <v>88</v>
      </c>
    </row>
    <row r="18" spans="1:3" s="20" customFormat="1" ht="18" x14ac:dyDescent="0.25">
      <c r="A18" s="143"/>
      <c r="B18" s="141" t="s">
        <v>96</v>
      </c>
    </row>
    <row r="19" spans="1:3" s="42" customFormat="1" ht="18" x14ac:dyDescent="0.25">
      <c r="A19" s="146"/>
      <c r="B19" s="141" t="s">
        <v>97</v>
      </c>
    </row>
    <row r="20" spans="1:3" s="134" customFormat="1" ht="18" x14ac:dyDescent="0.2">
      <c r="A20" s="142"/>
      <c r="B20" s="140" t="s">
        <v>85</v>
      </c>
      <c r="C20" s="135" t="s">
        <v>4</v>
      </c>
    </row>
    <row r="21" spans="1:3" ht="18" x14ac:dyDescent="0.25">
      <c r="A21" s="143"/>
      <c r="B21" s="141" t="s">
        <v>87</v>
      </c>
    </row>
    <row r="22" spans="1:3" s="8" customFormat="1" ht="18" x14ac:dyDescent="0.25">
      <c r="A22" s="144"/>
      <c r="B22" s="145" t="s">
        <v>89</v>
      </c>
    </row>
    <row r="23" spans="1:3" s="8" customFormat="1" ht="18" x14ac:dyDescent="0.25">
      <c r="A23" s="144"/>
      <c r="B23" s="10"/>
    </row>
    <row r="24" spans="1:3" s="8" customFormat="1" ht="18" x14ac:dyDescent="0.25">
      <c r="A24" s="172" t="s">
        <v>90</v>
      </c>
      <c r="B24" s="172"/>
    </row>
    <row r="25" spans="1:3" s="8" customFormat="1" ht="43.5" x14ac:dyDescent="0.25">
      <c r="A25" s="144"/>
      <c r="B25" s="141" t="s">
        <v>98</v>
      </c>
    </row>
    <row r="26" spans="1:3" s="8" customFormat="1" ht="18" x14ac:dyDescent="0.25">
      <c r="A26" s="144"/>
      <c r="B26" s="141"/>
    </row>
    <row r="27" spans="1:3" s="8" customFormat="1" ht="18" x14ac:dyDescent="0.25">
      <c r="A27" s="144"/>
      <c r="B27" s="162" t="s">
        <v>102</v>
      </c>
    </row>
    <row r="28" spans="1:3" s="8" customFormat="1" ht="18" x14ac:dyDescent="0.25">
      <c r="A28" s="144"/>
      <c r="B28" s="141" t="s">
        <v>91</v>
      </c>
    </row>
    <row r="29" spans="1:3" s="8" customFormat="1" ht="28.5" x14ac:dyDescent="0.25">
      <c r="A29" s="144"/>
      <c r="B29" s="141" t="s">
        <v>93</v>
      </c>
    </row>
    <row r="30" spans="1:3" s="8" customFormat="1" ht="18" x14ac:dyDescent="0.25">
      <c r="A30" s="144"/>
      <c r="B30" s="141"/>
    </row>
    <row r="31" spans="1:3" s="8" customFormat="1" ht="18" x14ac:dyDescent="0.25">
      <c r="A31" s="144"/>
      <c r="B31" s="162" t="s">
        <v>99</v>
      </c>
    </row>
    <row r="32" spans="1:3" s="8" customFormat="1" ht="18" x14ac:dyDescent="0.25">
      <c r="A32" s="144"/>
      <c r="B32" s="141" t="s">
        <v>92</v>
      </c>
    </row>
    <row r="33" spans="1:2" s="8" customFormat="1" ht="18" x14ac:dyDescent="0.25">
      <c r="A33" s="144"/>
      <c r="B33" s="141" t="s">
        <v>100</v>
      </c>
    </row>
    <row r="34" spans="1:2" s="8" customFormat="1" ht="18" x14ac:dyDescent="0.25">
      <c r="A34" s="144"/>
      <c r="B34" s="10"/>
    </row>
    <row r="35" spans="1:2" s="8" customFormat="1" ht="28.5" x14ac:dyDescent="0.25">
      <c r="A35" s="144"/>
      <c r="B35" s="141" t="s">
        <v>138</v>
      </c>
    </row>
    <row r="36" spans="1:2" s="8" customFormat="1" ht="18" x14ac:dyDescent="0.25">
      <c r="A36" s="144"/>
      <c r="B36" s="147" t="s">
        <v>101</v>
      </c>
    </row>
    <row r="37" spans="1:2" s="8" customFormat="1" ht="18" x14ac:dyDescent="0.25">
      <c r="A37" s="144"/>
      <c r="B37" s="10"/>
    </row>
    <row r="38" spans="1:2" ht="18" x14ac:dyDescent="0.25">
      <c r="A38" s="172" t="s">
        <v>14</v>
      </c>
      <c r="B38" s="172"/>
    </row>
    <row r="39" spans="1:2" ht="28.5" x14ac:dyDescent="0.2">
      <c r="B39" s="141" t="s">
        <v>104</v>
      </c>
    </row>
    <row r="40" spans="1:2" s="20" customFormat="1" x14ac:dyDescent="0.2"/>
    <row r="41" spans="1:2" s="20" customFormat="1" ht="14.25" x14ac:dyDescent="0.2">
      <c r="B41" s="141" t="s">
        <v>105</v>
      </c>
    </row>
    <row r="42" spans="1:2" s="20" customFormat="1" x14ac:dyDescent="0.2"/>
    <row r="43" spans="1:2" s="20" customFormat="1" ht="28.5" x14ac:dyDescent="0.2">
      <c r="B43" s="141" t="s">
        <v>103</v>
      </c>
    </row>
    <row r="44" spans="1:2" s="20" customFormat="1" x14ac:dyDescent="0.2"/>
    <row r="45" spans="1:2" ht="28.5" x14ac:dyDescent="0.2">
      <c r="B45" s="141" t="s">
        <v>106</v>
      </c>
    </row>
    <row r="46" spans="1:2" x14ac:dyDescent="0.2">
      <c r="B46" s="21"/>
    </row>
    <row r="47" spans="1:2" ht="28.5" x14ac:dyDescent="0.2">
      <c r="B47" s="141" t="s">
        <v>107</v>
      </c>
    </row>
    <row r="48" spans="1:2" x14ac:dyDescent="0.2">
      <c r="B48" s="11"/>
    </row>
    <row r="49" spans="1:2" ht="18" x14ac:dyDescent="0.25">
      <c r="A49" s="172" t="s">
        <v>9</v>
      </c>
      <c r="B49" s="172"/>
    </row>
    <row r="50" spans="1:2" ht="28.5" x14ac:dyDescent="0.2">
      <c r="B50" s="141" t="s">
        <v>139</v>
      </c>
    </row>
    <row r="51" spans="1:2" x14ac:dyDescent="0.2">
      <c r="B51" s="11"/>
    </row>
    <row r="52" spans="1:2" ht="14.25" x14ac:dyDescent="0.2">
      <c r="A52" s="148" t="s">
        <v>15</v>
      </c>
      <c r="B52" s="141" t="s">
        <v>16</v>
      </c>
    </row>
    <row r="53" spans="1:2" ht="14.25" x14ac:dyDescent="0.2">
      <c r="A53" s="148" t="s">
        <v>17</v>
      </c>
      <c r="B53" s="141" t="s">
        <v>18</v>
      </c>
    </row>
    <row r="54" spans="1:2" ht="14.25" x14ac:dyDescent="0.2">
      <c r="A54" s="148" t="s">
        <v>19</v>
      </c>
      <c r="B54" s="141" t="s">
        <v>20</v>
      </c>
    </row>
    <row r="55" spans="1:2" ht="28.5" x14ac:dyDescent="0.2">
      <c r="A55" s="137"/>
      <c r="B55" s="141" t="s">
        <v>108</v>
      </c>
    </row>
    <row r="56" spans="1:2" ht="28.5" x14ac:dyDescent="0.2">
      <c r="A56" s="137"/>
      <c r="B56" s="141" t="s">
        <v>109</v>
      </c>
    </row>
    <row r="57" spans="1:2" ht="14.25" x14ac:dyDescent="0.2">
      <c r="A57" s="148" t="s">
        <v>21</v>
      </c>
      <c r="B57" s="141" t="s">
        <v>22</v>
      </c>
    </row>
    <row r="58" spans="1:2" ht="14.25" x14ac:dyDescent="0.2">
      <c r="A58" s="137"/>
      <c r="B58" s="141" t="s">
        <v>110</v>
      </c>
    </row>
    <row r="59" spans="1:2" ht="14.25" x14ac:dyDescent="0.2">
      <c r="A59" s="137"/>
      <c r="B59" s="141" t="s">
        <v>111</v>
      </c>
    </row>
    <row r="60" spans="1:2" ht="14.25" x14ac:dyDescent="0.2">
      <c r="A60" s="148" t="s">
        <v>23</v>
      </c>
      <c r="B60" s="141" t="s">
        <v>24</v>
      </c>
    </row>
    <row r="61" spans="1:2" ht="28.5" x14ac:dyDescent="0.2">
      <c r="A61" s="137"/>
      <c r="B61" s="141" t="s">
        <v>112</v>
      </c>
    </row>
    <row r="62" spans="1:2" ht="14.25" x14ac:dyDescent="0.2">
      <c r="A62" s="148" t="s">
        <v>113</v>
      </c>
      <c r="B62" s="141" t="s">
        <v>114</v>
      </c>
    </row>
    <row r="63" spans="1:2" ht="14.25" x14ac:dyDescent="0.2">
      <c r="A63" s="149"/>
      <c r="B63" s="141" t="s">
        <v>115</v>
      </c>
    </row>
    <row r="64" spans="1:2" s="20" customFormat="1" x14ac:dyDescent="0.2">
      <c r="B64" s="12"/>
    </row>
    <row r="65" spans="1:2" s="20" customFormat="1" ht="18" x14ac:dyDescent="0.25">
      <c r="A65" s="172" t="s">
        <v>13</v>
      </c>
      <c r="B65" s="172"/>
    </row>
    <row r="66" spans="1:2" s="20" customFormat="1" ht="42.75" x14ac:dyDescent="0.2">
      <c r="B66" s="141" t="s">
        <v>116</v>
      </c>
    </row>
    <row r="67" spans="1:2" s="20" customFormat="1" x14ac:dyDescent="0.2">
      <c r="B67" s="13"/>
    </row>
    <row r="68" spans="1:2" s="8" customFormat="1" ht="18" x14ac:dyDescent="0.25">
      <c r="A68" s="172" t="s">
        <v>7</v>
      </c>
      <c r="B68" s="172"/>
    </row>
    <row r="69" spans="1:2" s="20" customFormat="1" ht="15" x14ac:dyDescent="0.25">
      <c r="A69" s="156" t="s">
        <v>8</v>
      </c>
      <c r="B69" s="157" t="s">
        <v>117</v>
      </c>
    </row>
    <row r="70" spans="1:2" s="8" customFormat="1" ht="28.5" x14ac:dyDescent="0.2">
      <c r="A70" s="150"/>
      <c r="B70" s="155" t="s">
        <v>119</v>
      </c>
    </row>
    <row r="71" spans="1:2" s="8" customFormat="1" ht="14.25" x14ac:dyDescent="0.2">
      <c r="A71" s="150"/>
      <c r="B71" s="151"/>
    </row>
    <row r="72" spans="1:2" s="20" customFormat="1" ht="15" x14ac:dyDescent="0.25">
      <c r="A72" s="156" t="s">
        <v>8</v>
      </c>
      <c r="B72" s="157" t="s">
        <v>136</v>
      </c>
    </row>
    <row r="73" spans="1:2" s="8" customFormat="1" ht="28.5" x14ac:dyDescent="0.2">
      <c r="A73" s="150"/>
      <c r="B73" s="155" t="s">
        <v>141</v>
      </c>
    </row>
    <row r="74" spans="1:2" s="8" customFormat="1" ht="14.25" x14ac:dyDescent="0.2">
      <c r="A74" s="150"/>
      <c r="B74" s="151"/>
    </row>
    <row r="75" spans="1:2" ht="15" x14ac:dyDescent="0.25">
      <c r="A75" s="156" t="s">
        <v>8</v>
      </c>
      <c r="B75" s="159" t="s">
        <v>122</v>
      </c>
    </row>
    <row r="76" spans="1:2" s="8" customFormat="1" ht="42.75" x14ac:dyDescent="0.2">
      <c r="A76" s="150"/>
      <c r="B76" s="139" t="s">
        <v>140</v>
      </c>
    </row>
    <row r="77" spans="1:2" ht="14.25" x14ac:dyDescent="0.2">
      <c r="A77" s="149"/>
      <c r="B77" s="149"/>
    </row>
    <row r="78" spans="1:2" s="20" customFormat="1" ht="15" x14ac:dyDescent="0.25">
      <c r="A78" s="156" t="s">
        <v>8</v>
      </c>
      <c r="B78" s="159" t="s">
        <v>128</v>
      </c>
    </row>
    <row r="79" spans="1:2" s="8" customFormat="1" ht="28.5" x14ac:dyDescent="0.2">
      <c r="A79" s="150"/>
      <c r="B79" s="139" t="s">
        <v>123</v>
      </c>
    </row>
    <row r="80" spans="1:2" s="20" customFormat="1" ht="14.25" x14ac:dyDescent="0.2">
      <c r="A80" s="149"/>
      <c r="B80" s="149"/>
    </row>
    <row r="81" spans="1:2" ht="15" x14ac:dyDescent="0.25">
      <c r="A81" s="156" t="s">
        <v>8</v>
      </c>
      <c r="B81" s="159" t="s">
        <v>129</v>
      </c>
    </row>
    <row r="82" spans="1:2" s="8" customFormat="1" ht="14.25" x14ac:dyDescent="0.2">
      <c r="A82" s="150"/>
      <c r="B82" s="154" t="s">
        <v>124</v>
      </c>
    </row>
    <row r="83" spans="1:2" s="8" customFormat="1" ht="14.25" x14ac:dyDescent="0.2">
      <c r="A83" s="150"/>
      <c r="B83" s="154" t="s">
        <v>125</v>
      </c>
    </row>
    <row r="84" spans="1:2" s="8" customFormat="1" ht="14.25" x14ac:dyDescent="0.2">
      <c r="A84" s="150"/>
      <c r="B84" s="154" t="s">
        <v>126</v>
      </c>
    </row>
    <row r="85" spans="1:2" ht="15" x14ac:dyDescent="0.25">
      <c r="A85" s="149"/>
      <c r="B85" s="153"/>
    </row>
    <row r="86" spans="1:2" ht="15" x14ac:dyDescent="0.25">
      <c r="A86" s="156" t="s">
        <v>8</v>
      </c>
      <c r="B86" s="159" t="s">
        <v>130</v>
      </c>
    </row>
    <row r="87" spans="1:2" s="8" customFormat="1" ht="42.75" x14ac:dyDescent="0.2">
      <c r="A87" s="150"/>
      <c r="B87" s="139" t="s">
        <v>118</v>
      </c>
    </row>
    <row r="88" spans="1:2" s="8" customFormat="1" ht="14.25" x14ac:dyDescent="0.2">
      <c r="A88" s="150"/>
      <c r="B88" s="152" t="s">
        <v>120</v>
      </c>
    </row>
    <row r="89" spans="1:2" s="8" customFormat="1" ht="57" x14ac:dyDescent="0.2">
      <c r="A89" s="150"/>
      <c r="B89" s="158" t="s">
        <v>121</v>
      </c>
    </row>
    <row r="90" spans="1:2" ht="14.25" x14ac:dyDescent="0.2">
      <c r="A90" s="149"/>
      <c r="B90" s="149"/>
    </row>
    <row r="91" spans="1:2" ht="15" x14ac:dyDescent="0.25">
      <c r="A91" s="156" t="s">
        <v>8</v>
      </c>
      <c r="B91" s="161" t="s">
        <v>131</v>
      </c>
    </row>
    <row r="92" spans="1:2" ht="28.5" x14ac:dyDescent="0.2">
      <c r="A92" s="137"/>
      <c r="B92" s="154" t="s">
        <v>25</v>
      </c>
    </row>
    <row r="94" spans="1:2" x14ac:dyDescent="0.2">
      <c r="A94" s="28" t="s">
        <v>58</v>
      </c>
    </row>
  </sheetData>
  <mergeCells count="6">
    <mergeCell ref="A38:B38"/>
    <mergeCell ref="A49:B49"/>
    <mergeCell ref="A68:B68"/>
    <mergeCell ref="A13:B13"/>
    <mergeCell ref="A65:B65"/>
    <mergeCell ref="A24:B24"/>
  </mergeCells>
  <phoneticPr fontId="3" type="noConversion"/>
  <hyperlinks>
    <hyperlink ref="B9" r:id="rId1"/>
    <hyperlink ref="A2" r:id="rId2"/>
    <hyperlink ref="B36" r:id="rId3"/>
  </hyperlinks>
  <pageMargins left="0.5" right="0.5" top="0.25" bottom="0.25" header="0.5" footer="0.5"/>
  <pageSetup orientation="portrait" r:id="rId4"/>
  <headerFooter alignWithMargins="0"/>
  <drawing r:id="rId5"/>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showGridLines="0" workbookViewId="0">
      <selection activeCell="A2" sqref="A2"/>
    </sheetView>
  </sheetViews>
  <sheetFormatPr defaultColWidth="8.85546875" defaultRowHeight="12.75" x14ac:dyDescent="0.2"/>
  <cols>
    <col min="1" max="1" width="5.5703125" style="20" customWidth="1"/>
    <col min="2" max="2" width="82.140625" style="20" customWidth="1"/>
    <col min="3" max="16384" width="8.85546875" style="16"/>
  </cols>
  <sheetData>
    <row r="1" spans="1:4" ht="30" customHeight="1" x14ac:dyDescent="0.2">
      <c r="A1" s="40" t="s">
        <v>56</v>
      </c>
      <c r="B1" s="40"/>
      <c r="C1" s="45"/>
      <c r="D1" s="45"/>
    </row>
    <row r="2" spans="1:4" ht="15" x14ac:dyDescent="0.2">
      <c r="A2" s="42"/>
      <c r="B2" s="46"/>
      <c r="C2" s="45"/>
      <c r="D2" s="45"/>
    </row>
    <row r="3" spans="1:4" ht="15" x14ac:dyDescent="0.2">
      <c r="A3" s="43"/>
      <c r="B3" s="36" t="s">
        <v>57</v>
      </c>
      <c r="C3" s="44"/>
    </row>
    <row r="4" spans="1:4" ht="14.25" x14ac:dyDescent="0.2">
      <c r="A4" s="14"/>
      <c r="B4" s="38" t="s">
        <v>53</v>
      </c>
      <c r="C4" s="15"/>
    </row>
    <row r="5" spans="1:4" ht="15" x14ac:dyDescent="0.2">
      <c r="A5" s="14"/>
      <c r="B5" s="17"/>
      <c r="C5" s="15"/>
    </row>
    <row r="6" spans="1:4" ht="15.75" x14ac:dyDescent="0.25">
      <c r="A6" s="14"/>
      <c r="B6" s="18" t="s">
        <v>58</v>
      </c>
      <c r="C6" s="15"/>
    </row>
    <row r="7" spans="1:4" ht="15" x14ac:dyDescent="0.2">
      <c r="A7" s="14"/>
      <c r="B7" s="17"/>
      <c r="C7" s="15"/>
    </row>
    <row r="8" spans="1:4" ht="30" x14ac:dyDescent="0.2">
      <c r="A8" s="14"/>
      <c r="B8" s="17" t="s">
        <v>59</v>
      </c>
      <c r="C8" s="15"/>
    </row>
    <row r="9" spans="1:4" ht="15" x14ac:dyDescent="0.2">
      <c r="A9" s="14"/>
      <c r="B9" s="17"/>
      <c r="C9" s="15"/>
    </row>
    <row r="10" spans="1:4" ht="46.5" x14ac:dyDescent="0.25">
      <c r="A10" s="14"/>
      <c r="B10" s="17" t="s">
        <v>60</v>
      </c>
      <c r="C10" s="15"/>
    </row>
    <row r="11" spans="1:4" ht="15" x14ac:dyDescent="0.2">
      <c r="A11" s="14"/>
      <c r="B11" s="17"/>
      <c r="C11" s="15"/>
    </row>
    <row r="12" spans="1:4" ht="45" x14ac:dyDescent="0.2">
      <c r="A12" s="14"/>
      <c r="B12" s="17" t="s">
        <v>61</v>
      </c>
      <c r="C12" s="15"/>
    </row>
    <row r="13" spans="1:4" ht="15" x14ac:dyDescent="0.2">
      <c r="A13" s="14"/>
      <c r="B13" s="17"/>
      <c r="C13" s="15"/>
    </row>
    <row r="14" spans="1:4" ht="60" x14ac:dyDescent="0.2">
      <c r="A14" s="14"/>
      <c r="B14" s="17" t="s">
        <v>62</v>
      </c>
      <c r="C14" s="15"/>
    </row>
    <row r="15" spans="1:4" ht="15" x14ac:dyDescent="0.2">
      <c r="A15" s="14"/>
      <c r="B15" s="17"/>
      <c r="C15" s="15"/>
    </row>
    <row r="16" spans="1:4" ht="30.75" x14ac:dyDescent="0.2">
      <c r="A16" s="14"/>
      <c r="B16" s="17" t="s">
        <v>63</v>
      </c>
      <c r="C16" s="15"/>
    </row>
    <row r="17" spans="1:3" ht="15" x14ac:dyDescent="0.2">
      <c r="A17" s="14"/>
      <c r="B17" s="17"/>
      <c r="C17" s="15"/>
    </row>
    <row r="18" spans="1:3" ht="15.75" x14ac:dyDescent="0.25">
      <c r="A18" s="14"/>
      <c r="B18" s="18" t="s">
        <v>64</v>
      </c>
      <c r="C18" s="15"/>
    </row>
    <row r="19" spans="1:3" ht="15" x14ac:dyDescent="0.2">
      <c r="A19" s="14"/>
      <c r="B19" s="37" t="s">
        <v>54</v>
      </c>
      <c r="C19" s="15"/>
    </row>
    <row r="20" spans="1:3" ht="15" x14ac:dyDescent="0.2">
      <c r="A20" s="14"/>
      <c r="B20" s="19"/>
      <c r="C20" s="15"/>
    </row>
    <row r="21" spans="1:3" x14ac:dyDescent="0.2">
      <c r="A21" s="14"/>
      <c r="B21" s="14"/>
      <c r="C21" s="15"/>
    </row>
    <row r="22" spans="1:3" x14ac:dyDescent="0.2">
      <c r="A22" s="14"/>
      <c r="B22" s="14"/>
      <c r="C22" s="15"/>
    </row>
    <row r="23" spans="1:3" x14ac:dyDescent="0.2">
      <c r="A23" s="14"/>
      <c r="B23" s="14"/>
      <c r="C23" s="15"/>
    </row>
    <row r="24" spans="1:3" x14ac:dyDescent="0.2">
      <c r="A24" s="14"/>
      <c r="B24" s="14"/>
      <c r="C24" s="15"/>
    </row>
    <row r="25" spans="1:3" x14ac:dyDescent="0.2">
      <c r="A25" s="14"/>
      <c r="B25" s="14"/>
      <c r="C25" s="15"/>
    </row>
    <row r="26" spans="1:3" x14ac:dyDescent="0.2">
      <c r="A26" s="14"/>
      <c r="B26" s="14"/>
      <c r="C26" s="15"/>
    </row>
    <row r="27" spans="1:3" x14ac:dyDescent="0.2">
      <c r="A27" s="14"/>
      <c r="B27" s="14"/>
      <c r="C27" s="15"/>
    </row>
    <row r="28" spans="1:3" x14ac:dyDescent="0.2">
      <c r="A28" s="14"/>
      <c r="B28" s="14"/>
      <c r="C28" s="15"/>
    </row>
    <row r="29" spans="1:3" x14ac:dyDescent="0.2">
      <c r="A29" s="14"/>
      <c r="B29" s="14"/>
      <c r="C29" s="15"/>
    </row>
  </sheetData>
  <hyperlinks>
    <hyperlink ref="B4" r:id="rId1"/>
    <hyperlink ref="B19" r:id="rId2"/>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GanttChart</vt:lpstr>
      <vt:lpstr>GanttChartPro</vt:lpstr>
      <vt:lpstr>Help</vt:lpstr>
      <vt:lpstr>TermsOfUse</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Barrie, Scott</cp:lastModifiedBy>
  <cp:lastPrinted>2018-02-12T20:25:38Z</cp:lastPrinted>
  <dcterms:created xsi:type="dcterms:W3CDTF">2010-06-09T16:05:03Z</dcterms:created>
  <dcterms:modified xsi:type="dcterms:W3CDTF">2019-07-22T18:45:38Z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